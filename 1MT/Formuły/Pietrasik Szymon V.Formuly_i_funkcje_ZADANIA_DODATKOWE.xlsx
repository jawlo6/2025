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300" yWindow="-135" windowWidth="11595" windowHeight="12465" tabRatio="814" activeTab="5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4519"/>
  <customWorkbookViews>
    <customWorkbookView name="bkaszubowska - Widok osobisty" guid="{3DF5E802-5CA5-43EF-BE6A-D6FCDA5F65F2}" mergeInterval="0" personalView="1" maximized="1" xWindow="1" yWindow="1" windowWidth="1916" windowHeight="861" tabRatio="814" activeSheetId="17"/>
    <customWorkbookView name="jdworowski - Widok osobisty" guid="{F9B480CE-077C-416E-ACF9-56227F746F4A}" mergeInterval="0" personalView="1" maximized="1" xWindow="1" yWindow="1" windowWidth="1830" windowHeight="890" tabRatio="814" activeSheetId="1"/>
  </customWorkbookViews>
</workbook>
</file>

<file path=xl/calcChain.xml><?xml version="1.0" encoding="utf-8"?>
<calcChain xmlns="http://schemas.openxmlformats.org/spreadsheetml/2006/main">
  <c r="B4" i="1"/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B29" i="3" l="1"/>
  <c r="C29" i="2"/>
  <c r="B29"/>
  <c r="B29" i="1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B1" i="6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3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C194" l="1"/>
  <c r="C200"/>
  <c r="C192"/>
  <c r="C197"/>
  <c r="C193"/>
  <c r="C189"/>
  <c r="C185"/>
  <c r="C181"/>
  <c r="C177"/>
  <c r="C173"/>
  <c r="C169"/>
  <c r="C165"/>
  <c r="C161"/>
  <c r="C157"/>
  <c r="C153"/>
  <c r="C149"/>
  <c r="C145"/>
  <c r="C141"/>
  <c r="C137"/>
  <c r="C133"/>
  <c r="C129"/>
  <c r="C125"/>
  <c r="C121"/>
  <c r="C117"/>
  <c r="C113"/>
  <c r="C109"/>
  <c r="C105"/>
  <c r="C101"/>
  <c r="C97"/>
  <c r="C93"/>
  <c r="C89"/>
  <c r="C85"/>
  <c r="C81"/>
  <c r="C77"/>
  <c r="C73"/>
  <c r="C69"/>
  <c r="C65"/>
  <c r="C61"/>
  <c r="C57"/>
  <c r="C53"/>
  <c r="C49"/>
  <c r="C45"/>
  <c r="C41"/>
  <c r="C37"/>
  <c r="C33"/>
  <c r="C29"/>
  <c r="C25"/>
  <c r="C21"/>
  <c r="C17"/>
  <c r="C14"/>
  <c r="C190"/>
  <c r="C182"/>
  <c r="C174"/>
  <c r="C170"/>
  <c r="C166"/>
  <c r="C162"/>
  <c r="C158"/>
  <c r="C154"/>
  <c r="C150"/>
  <c r="C146"/>
  <c r="C142"/>
  <c r="C138"/>
  <c r="C134"/>
  <c r="C130"/>
  <c r="C126"/>
  <c r="C122"/>
  <c r="C118"/>
  <c r="C114"/>
  <c r="C110"/>
  <c r="C106"/>
  <c r="C102"/>
  <c r="C98"/>
  <c r="C94"/>
  <c r="C90"/>
  <c r="C86"/>
  <c r="C82"/>
  <c r="C78"/>
  <c r="C74"/>
  <c r="C70"/>
  <c r="C66"/>
  <c r="C62"/>
  <c r="C58"/>
  <c r="C54"/>
  <c r="C50"/>
  <c r="C46"/>
  <c r="C42"/>
  <c r="C38"/>
  <c r="C34"/>
  <c r="C30"/>
  <c r="C26"/>
  <c r="C22"/>
  <c r="C18"/>
  <c r="C15"/>
  <c r="C186"/>
  <c r="C178"/>
  <c r="C199"/>
  <c r="C195"/>
  <c r="C191"/>
  <c r="C187"/>
  <c r="C183"/>
  <c r="C179"/>
  <c r="C175"/>
  <c r="C171"/>
  <c r="C167"/>
  <c r="C163"/>
  <c r="C159"/>
  <c r="C155"/>
  <c r="C151"/>
  <c r="C147"/>
  <c r="C143"/>
  <c r="C139"/>
  <c r="C135"/>
  <c r="C131"/>
  <c r="C127"/>
  <c r="C123"/>
  <c r="C119"/>
  <c r="C115"/>
  <c r="C111"/>
  <c r="C107"/>
  <c r="C103"/>
  <c r="C99"/>
  <c r="C95"/>
  <c r="C91"/>
  <c r="C87"/>
  <c r="C83"/>
  <c r="C79"/>
  <c r="C75"/>
  <c r="C71"/>
  <c r="C67"/>
  <c r="C63"/>
  <c r="C59"/>
  <c r="C55"/>
  <c r="C51"/>
  <c r="C47"/>
  <c r="C43"/>
  <c r="C39"/>
  <c r="C35"/>
  <c r="C31"/>
  <c r="C27"/>
  <c r="C23"/>
  <c r="C19"/>
  <c r="C11"/>
  <c r="C12"/>
  <c r="C198"/>
  <c r="C196"/>
  <c r="C188"/>
  <c r="C184"/>
  <c r="C180"/>
  <c r="C176"/>
  <c r="C172"/>
  <c r="C168"/>
  <c r="C164"/>
  <c r="C160"/>
  <c r="C156"/>
  <c r="C152"/>
  <c r="C148"/>
  <c r="C144"/>
  <c r="C140"/>
  <c r="C136"/>
  <c r="C132"/>
  <c r="C128"/>
  <c r="C124"/>
  <c r="C120"/>
  <c r="C116"/>
  <c r="C112"/>
  <c r="C108"/>
  <c r="C104"/>
  <c r="C100"/>
  <c r="C96"/>
  <c r="C92"/>
  <c r="C88"/>
  <c r="C84"/>
  <c r="C80"/>
  <c r="C76"/>
  <c r="C72"/>
  <c r="C68"/>
  <c r="C64"/>
  <c r="C60"/>
  <c r="C56"/>
  <c r="C52"/>
  <c r="C48"/>
  <c r="C44"/>
  <c r="C40"/>
  <c r="C36"/>
  <c r="C32"/>
  <c r="C28"/>
  <c r="C24"/>
  <c r="C20"/>
  <c r="C16"/>
  <c r="C10"/>
  <c r="F18" s="1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<sst xmlns="http://schemas.openxmlformats.org/spreadsheetml/2006/main" count="884" uniqueCount="281">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</sst>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6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7" fillId="5" borderId="0" xfId="0" applyFont="1" applyFill="1" applyAlignment="1">
      <alignment horizontal="right"/>
    </xf>
    <xf numFmtId="44" fontId="15" fillId="7" borderId="18" xfId="5" applyNumberFormat="1" applyFont="1" applyFill="1" applyBorder="1"/>
    <xf numFmtId="44" fontId="3" fillId="0" borderId="0" xfId="5" applyNumberFormat="1"/>
    <xf numFmtId="164" fontId="15" fillId="7" borderId="18" xfId="5" applyNumberFormat="1" applyFont="1" applyFill="1" applyBorder="1"/>
    <xf numFmtId="44" fontId="4" fillId="0" borderId="0" xfId="4" applyNumberFormat="1"/>
    <xf numFmtId="44" fontId="7" fillId="2" borderId="3" xfId="4" applyNumberFormat="1" applyFont="1" applyFill="1" applyBorder="1" applyProtection="1">
      <protection locked="0"/>
    </xf>
    <xf numFmtId="166" fontId="7" fillId="2" borderId="3" xfId="4" applyNumberFormat="1" applyFont="1" applyFill="1" applyBorder="1" applyProtection="1">
      <protection locked="0"/>
    </xf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48" sqref="B48"/>
    </sheetView>
  </sheetViews>
  <sheetFormatPr defaultRowHeight="12.75"/>
  <cols>
    <col min="1" max="1" width="8.28515625" style="24" bestFit="1" customWidth="1"/>
    <col min="2" max="2" width="17.140625" style="24" customWidth="1"/>
    <col min="3" max="16384" width="9.140625" style="24"/>
  </cols>
  <sheetData>
    <row r="1" spans="1:2">
      <c r="B1" s="29"/>
    </row>
    <row r="3" spans="1:2">
      <c r="A3" s="25" t="s">
        <v>53</v>
      </c>
      <c r="B3" s="25" t="s">
        <v>111</v>
      </c>
    </row>
    <row r="4" spans="1:2">
      <c r="A4" s="26" t="s">
        <v>54</v>
      </c>
      <c r="B4" s="71">
        <f ca="1">IF(RAND()&lt;0.1,"brak",RAND()*319+52)</f>
        <v>162.79300794644831</v>
      </c>
    </row>
    <row r="5" spans="1:2">
      <c r="A5" s="26" t="s">
        <v>55</v>
      </c>
      <c r="B5" s="71">
        <f t="shared" ref="B5:B27" ca="1" si="0">IF(RAND()&lt;0.1,"brak",RAND()*319+52)</f>
        <v>275.19772810858456</v>
      </c>
    </row>
    <row r="6" spans="1:2">
      <c r="A6" s="26" t="s">
        <v>56</v>
      </c>
      <c r="B6" s="71">
        <f t="shared" ca="1" si="0"/>
        <v>257.30800918383801</v>
      </c>
    </row>
    <row r="7" spans="1:2">
      <c r="A7" s="26" t="s">
        <v>57</v>
      </c>
      <c r="B7" s="71">
        <f t="shared" ca="1" si="0"/>
        <v>206.23118892757017</v>
      </c>
    </row>
    <row r="8" spans="1:2">
      <c r="A8" s="26" t="s">
        <v>58</v>
      </c>
      <c r="B8" s="71">
        <f t="shared" ca="1" si="0"/>
        <v>85.528018004866482</v>
      </c>
    </row>
    <row r="9" spans="1:2">
      <c r="A9" s="26" t="s">
        <v>59</v>
      </c>
      <c r="B9" s="71">
        <f t="shared" ca="1" si="0"/>
        <v>279.98302346693168</v>
      </c>
    </row>
    <row r="10" spans="1:2">
      <c r="A10" s="26" t="s">
        <v>60</v>
      </c>
      <c r="B10" s="71">
        <f t="shared" ca="1" si="0"/>
        <v>54.891181436304919</v>
      </c>
    </row>
    <row r="11" spans="1:2">
      <c r="A11" s="26" t="s">
        <v>61</v>
      </c>
      <c r="B11" s="71">
        <f t="shared" ca="1" si="0"/>
        <v>200.99304224284606</v>
      </c>
    </row>
    <row r="12" spans="1:2">
      <c r="A12" s="26" t="s">
        <v>62</v>
      </c>
      <c r="B12" s="71">
        <f t="shared" ca="1" si="0"/>
        <v>277.09093580127683</v>
      </c>
    </row>
    <row r="13" spans="1:2">
      <c r="A13" s="26" t="s">
        <v>63</v>
      </c>
      <c r="B13" s="71">
        <f t="shared" ca="1" si="0"/>
        <v>206.7072647466666</v>
      </c>
    </row>
    <row r="14" spans="1:2">
      <c r="A14" s="26" t="s">
        <v>64</v>
      </c>
      <c r="B14" s="71">
        <f t="shared" ca="1" si="0"/>
        <v>238.46933279257209</v>
      </c>
    </row>
    <row r="15" spans="1:2">
      <c r="A15" s="26" t="s">
        <v>97</v>
      </c>
      <c r="B15" s="71">
        <f t="shared" ca="1" si="0"/>
        <v>307.21421052809444</v>
      </c>
    </row>
    <row r="16" spans="1:2">
      <c r="A16" s="26" t="s">
        <v>98</v>
      </c>
      <c r="B16" s="71" t="str">
        <f t="shared" ca="1" si="0"/>
        <v>brak</v>
      </c>
    </row>
    <row r="17" spans="1:2">
      <c r="A17" s="26" t="s">
        <v>99</v>
      </c>
      <c r="B17" s="71">
        <f t="shared" ca="1" si="0"/>
        <v>348.88313152319921</v>
      </c>
    </row>
    <row r="18" spans="1:2">
      <c r="A18" s="26" t="s">
        <v>100</v>
      </c>
      <c r="B18" s="71">
        <f t="shared" ca="1" si="0"/>
        <v>277.22735243182524</v>
      </c>
    </row>
    <row r="19" spans="1:2">
      <c r="A19" s="26" t="s">
        <v>101</v>
      </c>
      <c r="B19" s="71">
        <f t="shared" ca="1" si="0"/>
        <v>340.55795606516904</v>
      </c>
    </row>
    <row r="20" spans="1:2">
      <c r="A20" s="26" t="s">
        <v>102</v>
      </c>
      <c r="B20" s="71">
        <f t="shared" ca="1" si="0"/>
        <v>106.92909392762793</v>
      </c>
    </row>
    <row r="21" spans="1:2">
      <c r="A21" s="26" t="s">
        <v>103</v>
      </c>
      <c r="B21" s="71">
        <f t="shared" ca="1" si="0"/>
        <v>141.51373589048973</v>
      </c>
    </row>
    <row r="22" spans="1:2">
      <c r="A22" s="26" t="s">
        <v>104</v>
      </c>
      <c r="B22" s="71">
        <f t="shared" ca="1" si="0"/>
        <v>330.42859155120391</v>
      </c>
    </row>
    <row r="23" spans="1:2">
      <c r="A23" s="26" t="s">
        <v>105</v>
      </c>
      <c r="B23" s="71">
        <f t="shared" ca="1" si="0"/>
        <v>131.33707618769768</v>
      </c>
    </row>
    <row r="24" spans="1:2">
      <c r="A24" s="26" t="s">
        <v>106</v>
      </c>
      <c r="B24" s="71">
        <f t="shared" ca="1" si="0"/>
        <v>147.85507659747128</v>
      </c>
    </row>
    <row r="25" spans="1:2">
      <c r="A25" s="26" t="s">
        <v>107</v>
      </c>
      <c r="B25" s="71">
        <f t="shared" ca="1" si="0"/>
        <v>297.65154197057973</v>
      </c>
    </row>
    <row r="26" spans="1:2">
      <c r="A26" s="26" t="s">
        <v>108</v>
      </c>
      <c r="B26" s="71">
        <f t="shared" ca="1" si="0"/>
        <v>115.54024118537738</v>
      </c>
    </row>
    <row r="27" spans="1:2">
      <c r="A27" s="26" t="s">
        <v>109</v>
      </c>
      <c r="B27" s="71">
        <f t="shared" ca="1" si="0"/>
        <v>143.3832456428409</v>
      </c>
    </row>
    <row r="28" spans="1:2" ht="13.5" thickBot="1"/>
    <row r="29" spans="1:2" ht="13.5" thickBot="1">
      <c r="A29" s="24" t="s">
        <v>112</v>
      </c>
      <c r="B29" s="140">
        <f ca="1">SUM(B4:B28)</f>
        <v>4933.7139861594824</v>
      </c>
    </row>
  </sheetData>
  <customSheetViews>
    <customSheetView guid="{3DF5E802-5CA5-43EF-BE6A-D6FCDA5F65F2}">
      <selection activeCell="B2" sqref="B2"/>
      <pageMargins left="0.75" right="0.75" top="1" bottom="1" header="0.5" footer="0.5"/>
      <headerFooter alignWithMargins="0"/>
    </customSheetView>
    <customSheetView guid="{F9B480CE-077C-416E-ACF9-56227F746F4A}">
      <selection activeCell="K2" sqref="K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C29"/>
  <sheetViews>
    <sheetView workbookViewId="0">
      <selection activeCell="C29" sqref="C29"/>
    </sheetView>
  </sheetViews>
  <sheetFormatPr defaultRowHeight="12.75"/>
  <cols>
    <col min="1" max="1" width="8.28515625" style="24" bestFit="1" customWidth="1"/>
    <col min="2" max="2" width="17.140625" style="24" customWidth="1"/>
    <col min="3" max="3" width="11.28515625" style="24" bestFit="1" customWidth="1"/>
    <col min="4" max="16384" width="9.140625" style="24"/>
  </cols>
  <sheetData>
    <row r="1" spans="1:2">
      <c r="B1" s="29"/>
    </row>
    <row r="3" spans="1:2">
      <c r="A3" s="25" t="s">
        <v>53</v>
      </c>
      <c r="B3" s="25" t="s">
        <v>111</v>
      </c>
    </row>
    <row r="4" spans="1:2">
      <c r="A4" s="26" t="s">
        <v>54</v>
      </c>
      <c r="B4" s="71">
        <f ca="1">IF(RAND()&lt;0.1,"brak",RAND()*419+62)</f>
        <v>79.182066742275083</v>
      </c>
    </row>
    <row r="5" spans="1:2">
      <c r="A5" s="26" t="s">
        <v>55</v>
      </c>
      <c r="B5" s="71">
        <f t="shared" ref="B5:B27" ca="1" si="0">IF(RAND()&lt;0.1,"brak",RAND()*419+62)</f>
        <v>169.98083336873935</v>
      </c>
    </row>
    <row r="6" spans="1:2">
      <c r="A6" s="26" t="s">
        <v>56</v>
      </c>
      <c r="B6" s="71">
        <f t="shared" ca="1" si="0"/>
        <v>341.60917796511956</v>
      </c>
    </row>
    <row r="7" spans="1:2">
      <c r="A7" s="26" t="s">
        <v>57</v>
      </c>
      <c r="B7" s="71">
        <f t="shared" ca="1" si="0"/>
        <v>422.78712257563529</v>
      </c>
    </row>
    <row r="8" spans="1:2">
      <c r="A8" s="26" t="s">
        <v>58</v>
      </c>
      <c r="B8" s="71" t="str">
        <f t="shared" ca="1" si="0"/>
        <v>brak</v>
      </c>
    </row>
    <row r="9" spans="1:2">
      <c r="A9" s="26" t="s">
        <v>59</v>
      </c>
      <c r="B9" s="71">
        <f t="shared" ca="1" si="0"/>
        <v>226.97812851466787</v>
      </c>
    </row>
    <row r="10" spans="1:2">
      <c r="A10" s="26" t="s">
        <v>60</v>
      </c>
      <c r="B10" s="71">
        <f t="shared" ca="1" si="0"/>
        <v>123.70447044120303</v>
      </c>
    </row>
    <row r="11" spans="1:2">
      <c r="A11" s="26" t="s">
        <v>61</v>
      </c>
      <c r="B11" s="71">
        <f t="shared" ca="1" si="0"/>
        <v>217.18385956487765</v>
      </c>
    </row>
    <row r="12" spans="1:2">
      <c r="A12" s="26" t="s">
        <v>62</v>
      </c>
      <c r="B12" s="71">
        <f t="shared" ca="1" si="0"/>
        <v>316.26287044043812</v>
      </c>
    </row>
    <row r="13" spans="1:2">
      <c r="A13" s="26" t="s">
        <v>63</v>
      </c>
      <c r="B13" s="71">
        <f t="shared" ca="1" si="0"/>
        <v>477.80418679559307</v>
      </c>
    </row>
    <row r="14" spans="1:2">
      <c r="A14" s="26" t="s">
        <v>64</v>
      </c>
      <c r="B14" s="71">
        <f t="shared" ca="1" si="0"/>
        <v>203.43588258599979</v>
      </c>
    </row>
    <row r="15" spans="1:2">
      <c r="A15" s="26" t="s">
        <v>97</v>
      </c>
      <c r="B15" s="71">
        <f t="shared" ca="1" si="0"/>
        <v>74.019771287181754</v>
      </c>
    </row>
    <row r="16" spans="1:2">
      <c r="A16" s="26" t="s">
        <v>98</v>
      </c>
      <c r="B16" s="71">
        <f t="shared" ca="1" si="0"/>
        <v>264.48667456416428</v>
      </c>
    </row>
    <row r="17" spans="1:3">
      <c r="A17" s="26" t="s">
        <v>99</v>
      </c>
      <c r="B17" s="71">
        <f t="shared" ca="1" si="0"/>
        <v>480.691320667382</v>
      </c>
    </row>
    <row r="18" spans="1:3">
      <c r="A18" s="26" t="s">
        <v>100</v>
      </c>
      <c r="B18" s="71" t="str">
        <f t="shared" ca="1" si="0"/>
        <v>brak</v>
      </c>
    </row>
    <row r="19" spans="1:3">
      <c r="A19" s="26" t="s">
        <v>101</v>
      </c>
      <c r="B19" s="71">
        <f t="shared" ca="1" si="0"/>
        <v>409.07162016361934</v>
      </c>
    </row>
    <row r="20" spans="1:3">
      <c r="A20" s="26" t="s">
        <v>102</v>
      </c>
      <c r="B20" s="71">
        <f t="shared" ca="1" si="0"/>
        <v>421.25856349414812</v>
      </c>
    </row>
    <row r="21" spans="1:3">
      <c r="A21" s="26" t="s">
        <v>103</v>
      </c>
      <c r="B21" s="71">
        <f t="shared" ca="1" si="0"/>
        <v>354.61840621395504</v>
      </c>
    </row>
    <row r="22" spans="1:3">
      <c r="A22" s="26" t="s">
        <v>104</v>
      </c>
      <c r="B22" s="71">
        <f t="shared" ca="1" si="0"/>
        <v>83.310391966711762</v>
      </c>
    </row>
    <row r="23" spans="1:3">
      <c r="A23" s="26" t="s">
        <v>105</v>
      </c>
      <c r="B23" s="71">
        <f t="shared" ca="1" si="0"/>
        <v>434.33069142449767</v>
      </c>
    </row>
    <row r="24" spans="1:3">
      <c r="A24" s="26" t="s">
        <v>106</v>
      </c>
      <c r="B24" s="71">
        <f t="shared" ca="1" si="0"/>
        <v>87.291645506904018</v>
      </c>
    </row>
    <row r="25" spans="1:3">
      <c r="A25" s="26" t="s">
        <v>107</v>
      </c>
      <c r="B25" s="71">
        <f t="shared" ca="1" si="0"/>
        <v>249.3985405792738</v>
      </c>
    </row>
    <row r="26" spans="1:3">
      <c r="A26" s="26" t="s">
        <v>108</v>
      </c>
      <c r="B26" s="71">
        <f t="shared" ca="1" si="0"/>
        <v>351.85433205022957</v>
      </c>
    </row>
    <row r="27" spans="1:3">
      <c r="A27" s="26" t="s">
        <v>109</v>
      </c>
      <c r="B27" s="71">
        <f t="shared" ca="1" si="0"/>
        <v>324.13119818455863</v>
      </c>
    </row>
    <row r="28" spans="1:3" ht="13.5" thickBot="1"/>
    <row r="29" spans="1:3" ht="13.5" thickBot="1">
      <c r="A29" s="24" t="s">
        <v>112</v>
      </c>
      <c r="B29" s="140">
        <f ca="1">SUM(B4:B28)</f>
        <v>6113.3917550971755</v>
      </c>
      <c r="C29" s="141">
        <f ca="1">ROUND(SUM(B4:D28,B27),-1)</f>
        <v>6440</v>
      </c>
    </row>
  </sheetData>
  <customSheetViews>
    <customSheetView guid="{3DF5E802-5CA5-43EF-BE6A-D6FCDA5F65F2}">
      <selection activeCell="E29" sqref="E29"/>
      <pageMargins left="0.75" right="0.75" top="1" bottom="1" header="0.5" footer="0.5"/>
      <headerFooter alignWithMargins="0"/>
    </customSheetView>
    <customSheetView guid="{F9B480CE-077C-416E-ACF9-56227F746F4A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4" sqref="B4:B29"/>
    </sheetView>
  </sheetViews>
  <sheetFormatPr defaultRowHeight="12.75"/>
  <cols>
    <col min="1" max="1" width="8.28515625" style="24" bestFit="1" customWidth="1"/>
    <col min="2" max="2" width="23.42578125" style="24" bestFit="1" customWidth="1"/>
    <col min="3" max="16384" width="9.140625" style="24"/>
  </cols>
  <sheetData>
    <row r="1" spans="1:2">
      <c r="B1" s="29"/>
    </row>
    <row r="3" spans="1:2">
      <c r="A3" s="25" t="s">
        <v>53</v>
      </c>
      <c r="B3" s="25" t="s">
        <v>113</v>
      </c>
    </row>
    <row r="4" spans="1:2">
      <c r="A4" s="26" t="s">
        <v>54</v>
      </c>
      <c r="B4" s="72">
        <f ca="1">IF(RAND()&lt;0.1,"nb",RAND()*5.7+0.51)</f>
        <v>3.8308572971205717</v>
      </c>
    </row>
    <row r="5" spans="1:2">
      <c r="A5" s="26" t="s">
        <v>55</v>
      </c>
      <c r="B5" s="72">
        <f t="shared" ref="B5:B27" ca="1" si="0">IF(RAND()&lt;0.1,"nb",RAND()*5.7+0.51)</f>
        <v>4.684182722155251</v>
      </c>
    </row>
    <row r="6" spans="1:2">
      <c r="A6" s="26" t="s">
        <v>56</v>
      </c>
      <c r="B6" s="72">
        <f t="shared" ca="1" si="0"/>
        <v>1.1927735718952059</v>
      </c>
    </row>
    <row r="7" spans="1:2">
      <c r="A7" s="26" t="s">
        <v>57</v>
      </c>
      <c r="B7" s="72">
        <f t="shared" ca="1" si="0"/>
        <v>4.5316744275554592</v>
      </c>
    </row>
    <row r="8" spans="1:2">
      <c r="A8" s="26" t="s">
        <v>58</v>
      </c>
      <c r="B8" s="72">
        <f t="shared" ca="1" si="0"/>
        <v>6.0782004213878702</v>
      </c>
    </row>
    <row r="9" spans="1:2">
      <c r="A9" s="26" t="s">
        <v>59</v>
      </c>
      <c r="B9" s="72" t="str">
        <f t="shared" ca="1" si="0"/>
        <v>nb</v>
      </c>
    </row>
    <row r="10" spans="1:2">
      <c r="A10" s="26" t="s">
        <v>60</v>
      </c>
      <c r="B10" s="72">
        <f t="shared" ca="1" si="0"/>
        <v>2.0522304533152798</v>
      </c>
    </row>
    <row r="11" spans="1:2">
      <c r="A11" s="26" t="s">
        <v>61</v>
      </c>
      <c r="B11" s="72">
        <f t="shared" ca="1" si="0"/>
        <v>5.914532301355707</v>
      </c>
    </row>
    <row r="12" spans="1:2">
      <c r="A12" s="26" t="s">
        <v>62</v>
      </c>
      <c r="B12" s="72">
        <f t="shared" ca="1" si="0"/>
        <v>5.5451029795286404</v>
      </c>
    </row>
    <row r="13" spans="1:2">
      <c r="A13" s="26" t="s">
        <v>63</v>
      </c>
      <c r="B13" s="72">
        <f t="shared" ca="1" si="0"/>
        <v>2.3042719625044841</v>
      </c>
    </row>
    <row r="14" spans="1:2">
      <c r="A14" s="26" t="s">
        <v>64</v>
      </c>
      <c r="B14" s="72">
        <f t="shared" ca="1" si="0"/>
        <v>3.1274971183939311</v>
      </c>
    </row>
    <row r="15" spans="1:2">
      <c r="A15" s="26" t="s">
        <v>97</v>
      </c>
      <c r="B15" s="72">
        <f t="shared" ca="1" si="0"/>
        <v>5.7300469559529859</v>
      </c>
    </row>
    <row r="16" spans="1:2">
      <c r="A16" s="26" t="s">
        <v>98</v>
      </c>
      <c r="B16" s="72">
        <f t="shared" ca="1" si="0"/>
        <v>2.8980584759109052</v>
      </c>
    </row>
    <row r="17" spans="1:2">
      <c r="A17" s="26" t="s">
        <v>99</v>
      </c>
      <c r="B17" s="72">
        <f t="shared" ca="1" si="0"/>
        <v>5.5213293833624428</v>
      </c>
    </row>
    <row r="18" spans="1:2">
      <c r="A18" s="26" t="s">
        <v>100</v>
      </c>
      <c r="B18" s="72">
        <f t="shared" ca="1" si="0"/>
        <v>3.2319592621881208</v>
      </c>
    </row>
    <row r="19" spans="1:2">
      <c r="A19" s="26" t="s">
        <v>101</v>
      </c>
      <c r="B19" s="72">
        <f t="shared" ca="1" si="0"/>
        <v>0.60491705672600427</v>
      </c>
    </row>
    <row r="20" spans="1:2">
      <c r="A20" s="26" t="s">
        <v>102</v>
      </c>
      <c r="B20" s="72">
        <f t="shared" ca="1" si="0"/>
        <v>5.9419636714281756</v>
      </c>
    </row>
    <row r="21" spans="1:2">
      <c r="A21" s="26" t="s">
        <v>103</v>
      </c>
      <c r="B21" s="72">
        <f t="shared" ca="1" si="0"/>
        <v>4.8187817175811274</v>
      </c>
    </row>
    <row r="22" spans="1:2">
      <c r="A22" s="26" t="s">
        <v>104</v>
      </c>
      <c r="B22" s="72">
        <f t="shared" ca="1" si="0"/>
        <v>5.3359576167490799</v>
      </c>
    </row>
    <row r="23" spans="1:2">
      <c r="A23" s="26" t="s">
        <v>105</v>
      </c>
      <c r="B23" s="72" t="str">
        <f t="shared" ca="1" si="0"/>
        <v>nb</v>
      </c>
    </row>
    <row r="24" spans="1:2">
      <c r="A24" s="26" t="s">
        <v>106</v>
      </c>
      <c r="B24" s="72">
        <f t="shared" ca="1" si="0"/>
        <v>3.0669955412322834</v>
      </c>
    </row>
    <row r="25" spans="1:2">
      <c r="A25" s="26" t="s">
        <v>107</v>
      </c>
      <c r="B25" s="72" t="str">
        <f t="shared" ca="1" si="0"/>
        <v>nb</v>
      </c>
    </row>
    <row r="26" spans="1:2">
      <c r="A26" s="26" t="s">
        <v>108</v>
      </c>
      <c r="B26" s="72">
        <f t="shared" ca="1" si="0"/>
        <v>4.2129431820820651</v>
      </c>
    </row>
    <row r="27" spans="1:2">
      <c r="A27" s="26" t="s">
        <v>109</v>
      </c>
      <c r="B27" s="72">
        <f t="shared" ca="1" si="0"/>
        <v>4.1415774229339588</v>
      </c>
    </row>
    <row r="28" spans="1:2" ht="13.5" thickBot="1"/>
    <row r="29" spans="1:2" ht="13.5" thickBot="1">
      <c r="A29" s="24" t="s">
        <v>9</v>
      </c>
      <c r="B29" s="142">
        <f ca="1">AVERAGE(B4:B28)</f>
        <v>4.0364692162552176</v>
      </c>
    </row>
  </sheetData>
  <customSheetViews>
    <customSheetView guid="{3DF5E802-5CA5-43EF-BE6A-D6FCDA5F65F2}">
      <selection activeCell="E33" sqref="E33"/>
      <pageMargins left="0.75" right="0.75" top="1" bottom="1" header="0.5" footer="0.5"/>
      <headerFooter alignWithMargins="0"/>
    </customSheetView>
    <customSheetView guid="{F9B480CE-077C-416E-ACF9-56227F746F4A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F200"/>
  <sheetViews>
    <sheetView topLeftCell="A163" workbookViewId="0">
      <selection activeCell="F208" sqref="F208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5"/>
      <c r="B1" s="7" t="s">
        <v>10</v>
      </c>
    </row>
    <row r="2" spans="1:3" ht="18">
      <c r="A2" s="5"/>
      <c r="B2" s="8">
        <f ca="1">ROUND(RAND()*0.2+0.1,2)</f>
        <v>0.13</v>
      </c>
    </row>
    <row r="3" spans="1:3">
      <c r="A3" s="5"/>
      <c r="B3" s="6"/>
    </row>
    <row r="4" spans="1:3">
      <c r="A4" s="5"/>
      <c r="B4" s="6"/>
    </row>
    <row r="5" spans="1:3">
      <c r="A5" s="5"/>
      <c r="B5" s="6"/>
    </row>
    <row r="9" spans="1:3" ht="13.5" thickBot="1">
      <c r="A9" s="92" t="s">
        <v>274</v>
      </c>
      <c r="B9" s="92" t="s">
        <v>275</v>
      </c>
      <c r="C9" s="129" t="s">
        <v>276</v>
      </c>
    </row>
    <row r="10" spans="1:3" ht="13.5" thickBot="1">
      <c r="A10" s="3">
        <v>1023652135</v>
      </c>
      <c r="B10" s="9">
        <f ca="1">ROUND(RAND()*400+20,0)</f>
        <v>400</v>
      </c>
      <c r="C10" s="144">
        <f ca="1">B10*$B$2</f>
        <v>52</v>
      </c>
    </row>
    <row r="11" spans="1:3" ht="13.5" thickBot="1">
      <c r="A11" s="3">
        <f>A10+13</f>
        <v>1023652148</v>
      </c>
      <c r="B11" s="9">
        <f t="shared" ref="B11:B74" ca="1" si="0">ROUND(RAND()*400+20,0)</f>
        <v>339</v>
      </c>
      <c r="C11" s="144">
        <f t="shared" ref="C11:C74" ca="1" si="1">B11*$B$2</f>
        <v>44.07</v>
      </c>
    </row>
    <row r="12" spans="1:3" ht="13.5" thickBot="1">
      <c r="A12" s="3">
        <v>1023652136</v>
      </c>
      <c r="B12" s="9">
        <f t="shared" ca="1" si="0"/>
        <v>321</v>
      </c>
      <c r="C12" s="144">
        <f t="shared" ca="1" si="1"/>
        <v>41.730000000000004</v>
      </c>
    </row>
    <row r="13" spans="1:3" ht="13.5" thickBot="1">
      <c r="A13" s="3">
        <f>A12+13</f>
        <v>1023652149</v>
      </c>
      <c r="B13" s="9">
        <f t="shared" ca="1" si="0"/>
        <v>96</v>
      </c>
      <c r="C13" s="144">
        <f t="shared" ca="1" si="1"/>
        <v>12.48</v>
      </c>
    </row>
    <row r="14" spans="1:3" ht="13.5" thickBot="1">
      <c r="A14" s="3">
        <v>1023652137</v>
      </c>
      <c r="B14" s="9">
        <f t="shared" ca="1" si="0"/>
        <v>258</v>
      </c>
      <c r="C14" s="144">
        <f t="shared" ca="1" si="1"/>
        <v>33.54</v>
      </c>
    </row>
    <row r="15" spans="1:3" ht="13.5" thickBot="1">
      <c r="A15" s="3">
        <f>A14+13</f>
        <v>1023652150</v>
      </c>
      <c r="B15" s="9">
        <f t="shared" ca="1" si="0"/>
        <v>319</v>
      </c>
      <c r="C15" s="144">
        <f t="shared" ca="1" si="1"/>
        <v>41.47</v>
      </c>
    </row>
    <row r="16" spans="1:3" ht="13.5" thickBot="1">
      <c r="A16" s="3">
        <v>1023652138</v>
      </c>
      <c r="B16" s="9">
        <f t="shared" ca="1" si="0"/>
        <v>369</v>
      </c>
      <c r="C16" s="144">
        <f t="shared" ca="1" si="1"/>
        <v>47.97</v>
      </c>
    </row>
    <row r="17" spans="1:6" ht="13.5" thickBot="1">
      <c r="A17" s="3">
        <f>A16+13</f>
        <v>1023652151</v>
      </c>
      <c r="B17" s="9">
        <f t="shared" ca="1" si="0"/>
        <v>287</v>
      </c>
      <c r="C17" s="144">
        <f t="shared" ca="1" si="1"/>
        <v>37.31</v>
      </c>
    </row>
    <row r="18" spans="1:6" ht="13.5" thickBot="1">
      <c r="A18" s="3">
        <v>1023652139</v>
      </c>
      <c r="B18" s="9">
        <f t="shared" ca="1" si="0"/>
        <v>279</v>
      </c>
      <c r="C18" s="144">
        <f t="shared" ca="1" si="1"/>
        <v>36.270000000000003</v>
      </c>
      <c r="F18" s="143" t="b">
        <f ca="1">C10=B10*$B$2</f>
        <v>1</v>
      </c>
    </row>
    <row r="19" spans="1:6" ht="13.5" thickBot="1">
      <c r="A19" s="3">
        <f>A18+13</f>
        <v>1023652152</v>
      </c>
      <c r="B19" s="9">
        <f t="shared" ca="1" si="0"/>
        <v>68</v>
      </c>
      <c r="C19" s="144">
        <f t="shared" ca="1" si="1"/>
        <v>8.84</v>
      </c>
    </row>
    <row r="20" spans="1:6" ht="13.5" thickBot="1">
      <c r="A20" s="3">
        <v>1023652140</v>
      </c>
      <c r="B20" s="9">
        <f t="shared" ca="1" si="0"/>
        <v>94</v>
      </c>
      <c r="C20" s="144">
        <f t="shared" ca="1" si="1"/>
        <v>12.22</v>
      </c>
    </row>
    <row r="21" spans="1:6" ht="13.5" thickBot="1">
      <c r="A21" s="3">
        <f>A20+13</f>
        <v>1023652153</v>
      </c>
      <c r="B21" s="9">
        <f t="shared" ca="1" si="0"/>
        <v>281</v>
      </c>
      <c r="C21" s="144">
        <f t="shared" ca="1" si="1"/>
        <v>36.53</v>
      </c>
    </row>
    <row r="22" spans="1:6" ht="13.5" thickBot="1">
      <c r="A22" s="3">
        <v>1023652141</v>
      </c>
      <c r="B22" s="9">
        <f t="shared" ca="1" si="0"/>
        <v>136</v>
      </c>
      <c r="C22" s="144">
        <f t="shared" ca="1" si="1"/>
        <v>17.68</v>
      </c>
    </row>
    <row r="23" spans="1:6" ht="13.5" thickBot="1">
      <c r="A23" s="3">
        <f>A22+13</f>
        <v>1023652154</v>
      </c>
      <c r="B23" s="9">
        <f t="shared" ca="1" si="0"/>
        <v>354</v>
      </c>
      <c r="C23" s="144">
        <f t="shared" ca="1" si="1"/>
        <v>46.02</v>
      </c>
    </row>
    <row r="24" spans="1:6" ht="13.5" thickBot="1">
      <c r="A24" s="3">
        <v>1023652142</v>
      </c>
      <c r="B24" s="9">
        <f t="shared" ca="1" si="0"/>
        <v>231</v>
      </c>
      <c r="C24" s="144">
        <f t="shared" ca="1" si="1"/>
        <v>30.03</v>
      </c>
    </row>
    <row r="25" spans="1:6" ht="13.5" thickBot="1">
      <c r="A25" s="3">
        <f>A24+13</f>
        <v>1023652155</v>
      </c>
      <c r="B25" s="9">
        <f t="shared" ca="1" si="0"/>
        <v>402</v>
      </c>
      <c r="C25" s="144">
        <f t="shared" ca="1" si="1"/>
        <v>52.260000000000005</v>
      </c>
    </row>
    <row r="26" spans="1:6" ht="13.5" thickBot="1">
      <c r="A26" s="3">
        <v>1023652143</v>
      </c>
      <c r="B26" s="9">
        <f t="shared" ca="1" si="0"/>
        <v>93</v>
      </c>
      <c r="C26" s="144">
        <f t="shared" ca="1" si="1"/>
        <v>12.09</v>
      </c>
    </row>
    <row r="27" spans="1:6" ht="13.5" thickBot="1">
      <c r="A27" s="3">
        <f>A26+13</f>
        <v>1023652156</v>
      </c>
      <c r="B27" s="9">
        <f t="shared" ca="1" si="0"/>
        <v>269</v>
      </c>
      <c r="C27" s="144">
        <f t="shared" ca="1" si="1"/>
        <v>34.97</v>
      </c>
    </row>
    <row r="28" spans="1:6" ht="13.5" thickBot="1">
      <c r="A28" s="3">
        <v>1023652144</v>
      </c>
      <c r="B28" s="9">
        <f t="shared" ca="1" si="0"/>
        <v>39</v>
      </c>
      <c r="C28" s="144">
        <f t="shared" ca="1" si="1"/>
        <v>5.07</v>
      </c>
    </row>
    <row r="29" spans="1:6" ht="13.5" thickBot="1">
      <c r="A29" s="3">
        <f>A28+13</f>
        <v>1023652157</v>
      </c>
      <c r="B29" s="9">
        <f t="shared" ca="1" si="0"/>
        <v>203</v>
      </c>
      <c r="C29" s="144">
        <f t="shared" ca="1" si="1"/>
        <v>26.39</v>
      </c>
    </row>
    <row r="30" spans="1:6" ht="13.5" thickBot="1">
      <c r="A30" s="3">
        <v>1023652145</v>
      </c>
      <c r="B30" s="9">
        <f t="shared" ca="1" si="0"/>
        <v>228</v>
      </c>
      <c r="C30" s="144">
        <f t="shared" ca="1" si="1"/>
        <v>29.64</v>
      </c>
    </row>
    <row r="31" spans="1:6" ht="13.5" thickBot="1">
      <c r="A31" s="3">
        <f>A30+13</f>
        <v>1023652158</v>
      </c>
      <c r="B31" s="9">
        <f t="shared" ca="1" si="0"/>
        <v>390</v>
      </c>
      <c r="C31" s="144">
        <f t="shared" ca="1" si="1"/>
        <v>50.7</v>
      </c>
    </row>
    <row r="32" spans="1:6" ht="13.5" thickBot="1">
      <c r="A32" s="3">
        <v>1023652146</v>
      </c>
      <c r="B32" s="9">
        <f t="shared" ca="1" si="0"/>
        <v>348</v>
      </c>
      <c r="C32" s="144">
        <f t="shared" ca="1" si="1"/>
        <v>45.24</v>
      </c>
    </row>
    <row r="33" spans="1:3" ht="13.5" thickBot="1">
      <c r="A33" s="3">
        <f>A32+13</f>
        <v>1023652159</v>
      </c>
      <c r="B33" s="9">
        <f t="shared" ca="1" si="0"/>
        <v>284</v>
      </c>
      <c r="C33" s="144">
        <f t="shared" ca="1" si="1"/>
        <v>36.92</v>
      </c>
    </row>
    <row r="34" spans="1:3" ht="13.5" thickBot="1">
      <c r="A34" s="3">
        <v>1023652147</v>
      </c>
      <c r="B34" s="9">
        <f t="shared" ca="1" si="0"/>
        <v>258</v>
      </c>
      <c r="C34" s="144">
        <f t="shared" ca="1" si="1"/>
        <v>33.54</v>
      </c>
    </row>
    <row r="35" spans="1:3" ht="13.5" thickBot="1">
      <c r="A35" s="3">
        <f>A34+13</f>
        <v>1023652160</v>
      </c>
      <c r="B35" s="9">
        <f t="shared" ca="1" si="0"/>
        <v>222</v>
      </c>
      <c r="C35" s="144">
        <f t="shared" ca="1" si="1"/>
        <v>28.86</v>
      </c>
    </row>
    <row r="36" spans="1:3" ht="13.5" thickBot="1">
      <c r="A36" s="3">
        <v>1023652148</v>
      </c>
      <c r="B36" s="9">
        <f t="shared" ca="1" si="0"/>
        <v>200</v>
      </c>
      <c r="C36" s="144">
        <f t="shared" ca="1" si="1"/>
        <v>26</v>
      </c>
    </row>
    <row r="37" spans="1:3" ht="13.5" thickBot="1">
      <c r="A37" s="3">
        <f>A36+13</f>
        <v>1023652161</v>
      </c>
      <c r="B37" s="9">
        <f t="shared" ca="1" si="0"/>
        <v>376</v>
      </c>
      <c r="C37" s="144">
        <f t="shared" ca="1" si="1"/>
        <v>48.88</v>
      </c>
    </row>
    <row r="38" spans="1:3" ht="13.5" thickBot="1">
      <c r="A38" s="3">
        <v>1023652149</v>
      </c>
      <c r="B38" s="9">
        <f t="shared" ca="1" si="0"/>
        <v>57</v>
      </c>
      <c r="C38" s="144">
        <f t="shared" ca="1" si="1"/>
        <v>7.41</v>
      </c>
    </row>
    <row r="39" spans="1:3" ht="13.5" thickBot="1">
      <c r="A39" s="3">
        <f>A38+13</f>
        <v>1023652162</v>
      </c>
      <c r="B39" s="9">
        <f t="shared" ca="1" si="0"/>
        <v>254</v>
      </c>
      <c r="C39" s="144">
        <f t="shared" ca="1" si="1"/>
        <v>33.020000000000003</v>
      </c>
    </row>
    <row r="40" spans="1:3" ht="13.5" thickBot="1">
      <c r="A40" s="3">
        <v>1023652150</v>
      </c>
      <c r="B40" s="9">
        <f t="shared" ca="1" si="0"/>
        <v>366</v>
      </c>
      <c r="C40" s="144">
        <f t="shared" ca="1" si="1"/>
        <v>47.58</v>
      </c>
    </row>
    <row r="41" spans="1:3" ht="13.5" thickBot="1">
      <c r="A41" s="3">
        <f>A40+13</f>
        <v>1023652163</v>
      </c>
      <c r="B41" s="9">
        <f t="shared" ca="1" si="0"/>
        <v>107</v>
      </c>
      <c r="C41" s="144">
        <f t="shared" ca="1" si="1"/>
        <v>13.91</v>
      </c>
    </row>
    <row r="42" spans="1:3" ht="13.5" thickBot="1">
      <c r="A42" s="3">
        <v>1023652151</v>
      </c>
      <c r="B42" s="9">
        <f t="shared" ca="1" si="0"/>
        <v>30</v>
      </c>
      <c r="C42" s="144">
        <f t="shared" ca="1" si="1"/>
        <v>3.9000000000000004</v>
      </c>
    </row>
    <row r="43" spans="1:3" ht="13.5" thickBot="1">
      <c r="A43" s="3">
        <f>A42+13</f>
        <v>1023652164</v>
      </c>
      <c r="B43" s="9">
        <f t="shared" ca="1" si="0"/>
        <v>48</v>
      </c>
      <c r="C43" s="144">
        <f t="shared" ca="1" si="1"/>
        <v>6.24</v>
      </c>
    </row>
    <row r="44" spans="1:3" ht="13.5" thickBot="1">
      <c r="A44" s="3">
        <v>1023652152</v>
      </c>
      <c r="B44" s="9">
        <f t="shared" ca="1" si="0"/>
        <v>262</v>
      </c>
      <c r="C44" s="144">
        <f t="shared" ca="1" si="1"/>
        <v>34.06</v>
      </c>
    </row>
    <row r="45" spans="1:3" ht="13.5" thickBot="1">
      <c r="A45" s="3">
        <f>A44+13</f>
        <v>1023652165</v>
      </c>
      <c r="B45" s="9">
        <f t="shared" ca="1" si="0"/>
        <v>48</v>
      </c>
      <c r="C45" s="144">
        <f t="shared" ca="1" si="1"/>
        <v>6.24</v>
      </c>
    </row>
    <row r="46" spans="1:3" ht="13.5" thickBot="1">
      <c r="A46" s="3">
        <v>1023652153</v>
      </c>
      <c r="B46" s="9">
        <f t="shared" ca="1" si="0"/>
        <v>281</v>
      </c>
      <c r="C46" s="144">
        <f t="shared" ca="1" si="1"/>
        <v>36.53</v>
      </c>
    </row>
    <row r="47" spans="1:3" ht="13.5" thickBot="1">
      <c r="A47" s="3">
        <f>A46+13</f>
        <v>1023652166</v>
      </c>
      <c r="B47" s="9">
        <f t="shared" ca="1" si="0"/>
        <v>327</v>
      </c>
      <c r="C47" s="144">
        <f t="shared" ca="1" si="1"/>
        <v>42.51</v>
      </c>
    </row>
    <row r="48" spans="1:3" ht="13.5" thickBot="1">
      <c r="A48" s="3">
        <v>1023652154</v>
      </c>
      <c r="B48" s="9">
        <f t="shared" ca="1" si="0"/>
        <v>351</v>
      </c>
      <c r="C48" s="144">
        <f t="shared" ca="1" si="1"/>
        <v>45.63</v>
      </c>
    </row>
    <row r="49" spans="1:3" ht="13.5" thickBot="1">
      <c r="A49" s="3">
        <f>A48+13</f>
        <v>1023652167</v>
      </c>
      <c r="B49" s="9">
        <f t="shared" ca="1" si="0"/>
        <v>33</v>
      </c>
      <c r="C49" s="144">
        <f t="shared" ca="1" si="1"/>
        <v>4.29</v>
      </c>
    </row>
    <row r="50" spans="1:3" ht="13.5" thickBot="1">
      <c r="A50" s="3">
        <v>1023652155</v>
      </c>
      <c r="B50" s="9">
        <f t="shared" ca="1" si="0"/>
        <v>24</v>
      </c>
      <c r="C50" s="144">
        <f t="shared" ca="1" si="1"/>
        <v>3.12</v>
      </c>
    </row>
    <row r="51" spans="1:3" ht="13.5" thickBot="1">
      <c r="A51" s="3">
        <f>A50+13</f>
        <v>1023652168</v>
      </c>
      <c r="B51" s="9">
        <f t="shared" ca="1" si="0"/>
        <v>37</v>
      </c>
      <c r="C51" s="144">
        <f t="shared" ca="1" si="1"/>
        <v>4.8100000000000005</v>
      </c>
    </row>
    <row r="52" spans="1:3" ht="13.5" thickBot="1">
      <c r="A52" s="3">
        <v>1023652156</v>
      </c>
      <c r="B52" s="9">
        <f t="shared" ca="1" si="0"/>
        <v>85</v>
      </c>
      <c r="C52" s="144">
        <f t="shared" ca="1" si="1"/>
        <v>11.05</v>
      </c>
    </row>
    <row r="53" spans="1:3" ht="13.5" thickBot="1">
      <c r="A53" s="3">
        <f>A52+13</f>
        <v>1023652169</v>
      </c>
      <c r="B53" s="9">
        <f t="shared" ca="1" si="0"/>
        <v>398</v>
      </c>
      <c r="C53" s="144">
        <f t="shared" ca="1" si="1"/>
        <v>51.74</v>
      </c>
    </row>
    <row r="54" spans="1:3" ht="13.5" thickBot="1">
      <c r="A54" s="3">
        <v>1023652157</v>
      </c>
      <c r="B54" s="9">
        <f t="shared" ca="1" si="0"/>
        <v>182</v>
      </c>
      <c r="C54" s="144">
        <f t="shared" ca="1" si="1"/>
        <v>23.66</v>
      </c>
    </row>
    <row r="55" spans="1:3" ht="13.5" thickBot="1">
      <c r="A55" s="3">
        <f>A54+13</f>
        <v>1023652170</v>
      </c>
      <c r="B55" s="9">
        <f t="shared" ca="1" si="0"/>
        <v>243</v>
      </c>
      <c r="C55" s="144">
        <f t="shared" ca="1" si="1"/>
        <v>31.59</v>
      </c>
    </row>
    <row r="56" spans="1:3" ht="13.5" thickBot="1">
      <c r="A56" s="3">
        <v>1023652158</v>
      </c>
      <c r="B56" s="9">
        <f t="shared" ca="1" si="0"/>
        <v>180</v>
      </c>
      <c r="C56" s="144">
        <f t="shared" ca="1" si="1"/>
        <v>23.400000000000002</v>
      </c>
    </row>
    <row r="57" spans="1:3" ht="13.5" thickBot="1">
      <c r="A57" s="3">
        <f>A56+13</f>
        <v>1023652171</v>
      </c>
      <c r="B57" s="9">
        <f t="shared" ca="1" si="0"/>
        <v>229</v>
      </c>
      <c r="C57" s="144">
        <f t="shared" ca="1" si="1"/>
        <v>29.77</v>
      </c>
    </row>
    <row r="58" spans="1:3" ht="13.5" thickBot="1">
      <c r="A58" s="3">
        <v>1023652159</v>
      </c>
      <c r="B58" s="9">
        <f t="shared" ca="1" si="0"/>
        <v>118</v>
      </c>
      <c r="C58" s="144">
        <f t="shared" ca="1" si="1"/>
        <v>15.34</v>
      </c>
    </row>
    <row r="59" spans="1:3" ht="13.5" thickBot="1">
      <c r="A59" s="3">
        <f>A58+13</f>
        <v>1023652172</v>
      </c>
      <c r="B59" s="9">
        <f t="shared" ca="1" si="0"/>
        <v>297</v>
      </c>
      <c r="C59" s="144">
        <f t="shared" ca="1" si="1"/>
        <v>38.61</v>
      </c>
    </row>
    <row r="60" spans="1:3" ht="13.5" thickBot="1">
      <c r="A60" s="3">
        <v>1023652160</v>
      </c>
      <c r="B60" s="9">
        <f t="shared" ca="1" si="0"/>
        <v>208</v>
      </c>
      <c r="C60" s="144">
        <f t="shared" ca="1" si="1"/>
        <v>27.04</v>
      </c>
    </row>
    <row r="61" spans="1:3" ht="13.5" thickBot="1">
      <c r="A61" s="3">
        <f>A60+13</f>
        <v>1023652173</v>
      </c>
      <c r="B61" s="9">
        <f t="shared" ca="1" si="0"/>
        <v>301</v>
      </c>
      <c r="C61" s="144">
        <f t="shared" ca="1" si="1"/>
        <v>39.130000000000003</v>
      </c>
    </row>
    <row r="62" spans="1:3" ht="13.5" thickBot="1">
      <c r="A62" s="3">
        <v>1023652161</v>
      </c>
      <c r="B62" s="9">
        <f t="shared" ca="1" si="0"/>
        <v>59</v>
      </c>
      <c r="C62" s="144">
        <f t="shared" ca="1" si="1"/>
        <v>7.67</v>
      </c>
    </row>
    <row r="63" spans="1:3" ht="13.5" thickBot="1">
      <c r="A63" s="3">
        <f>A62+13</f>
        <v>1023652174</v>
      </c>
      <c r="B63" s="9">
        <f t="shared" ca="1" si="0"/>
        <v>100</v>
      </c>
      <c r="C63" s="144">
        <f t="shared" ca="1" si="1"/>
        <v>13</v>
      </c>
    </row>
    <row r="64" spans="1:3" ht="13.5" thickBot="1">
      <c r="A64" s="3">
        <v>1023652162</v>
      </c>
      <c r="B64" s="9">
        <f t="shared" ca="1" si="0"/>
        <v>345</v>
      </c>
      <c r="C64" s="144">
        <f t="shared" ca="1" si="1"/>
        <v>44.85</v>
      </c>
    </row>
    <row r="65" spans="1:3" ht="13.5" thickBot="1">
      <c r="A65" s="3">
        <f>A64+13</f>
        <v>1023652175</v>
      </c>
      <c r="B65" s="9">
        <f t="shared" ca="1" si="0"/>
        <v>235</v>
      </c>
      <c r="C65" s="144">
        <f t="shared" ca="1" si="1"/>
        <v>30.55</v>
      </c>
    </row>
    <row r="66" spans="1:3" ht="13.5" thickBot="1">
      <c r="A66" s="3">
        <v>1023652163</v>
      </c>
      <c r="B66" s="9">
        <f t="shared" ca="1" si="0"/>
        <v>391</v>
      </c>
      <c r="C66" s="144">
        <f t="shared" ca="1" si="1"/>
        <v>50.83</v>
      </c>
    </row>
    <row r="67" spans="1:3" ht="13.5" thickBot="1">
      <c r="A67" s="3">
        <f>A66+13</f>
        <v>1023652176</v>
      </c>
      <c r="B67" s="9">
        <f t="shared" ca="1" si="0"/>
        <v>237</v>
      </c>
      <c r="C67" s="144">
        <f t="shared" ca="1" si="1"/>
        <v>30.810000000000002</v>
      </c>
    </row>
    <row r="68" spans="1:3" ht="13.5" thickBot="1">
      <c r="A68" s="3">
        <v>1023652164</v>
      </c>
      <c r="B68" s="9">
        <f t="shared" ca="1" si="0"/>
        <v>372</v>
      </c>
      <c r="C68" s="144">
        <f t="shared" ca="1" si="1"/>
        <v>48.36</v>
      </c>
    </row>
    <row r="69" spans="1:3" ht="13.5" thickBot="1">
      <c r="A69" s="3">
        <f>A68+13</f>
        <v>1023652177</v>
      </c>
      <c r="B69" s="9">
        <f t="shared" ca="1" si="0"/>
        <v>325</v>
      </c>
      <c r="C69" s="144">
        <f t="shared" ca="1" si="1"/>
        <v>42.25</v>
      </c>
    </row>
    <row r="70" spans="1:3" ht="13.5" thickBot="1">
      <c r="A70" s="3">
        <v>1023652165</v>
      </c>
      <c r="B70" s="9">
        <f t="shared" ca="1" si="0"/>
        <v>80</v>
      </c>
      <c r="C70" s="144">
        <f t="shared" ca="1" si="1"/>
        <v>10.4</v>
      </c>
    </row>
    <row r="71" spans="1:3" ht="13.5" thickBot="1">
      <c r="A71" s="3">
        <f>A70+13</f>
        <v>1023652178</v>
      </c>
      <c r="B71" s="9">
        <f t="shared" ca="1" si="0"/>
        <v>207</v>
      </c>
      <c r="C71" s="144">
        <f t="shared" ca="1" si="1"/>
        <v>26.91</v>
      </c>
    </row>
    <row r="72" spans="1:3" ht="13.5" thickBot="1">
      <c r="A72" s="3">
        <v>1023652166</v>
      </c>
      <c r="B72" s="9">
        <f t="shared" ca="1" si="0"/>
        <v>58</v>
      </c>
      <c r="C72" s="144">
        <f t="shared" ca="1" si="1"/>
        <v>7.54</v>
      </c>
    </row>
    <row r="73" spans="1:3" ht="13.5" thickBot="1">
      <c r="A73" s="3">
        <f>A72+13</f>
        <v>1023652179</v>
      </c>
      <c r="B73" s="9">
        <f t="shared" ca="1" si="0"/>
        <v>108</v>
      </c>
      <c r="C73" s="144">
        <f t="shared" ca="1" si="1"/>
        <v>14.040000000000001</v>
      </c>
    </row>
    <row r="74" spans="1:3" ht="13.5" thickBot="1">
      <c r="A74" s="3">
        <v>1023652167</v>
      </c>
      <c r="B74" s="9">
        <f t="shared" ca="1" si="0"/>
        <v>407</v>
      </c>
      <c r="C74" s="144">
        <f t="shared" ca="1" si="1"/>
        <v>52.910000000000004</v>
      </c>
    </row>
    <row r="75" spans="1:3" ht="13.5" thickBot="1">
      <c r="A75" s="3">
        <f>A74+13</f>
        <v>1023652180</v>
      </c>
      <c r="B75" s="9">
        <f t="shared" ref="B75:B138" ca="1" si="2">ROUND(RAND()*400+20,0)</f>
        <v>107</v>
      </c>
      <c r="C75" s="144">
        <f t="shared" ref="C75:C138" ca="1" si="3">B75*$B$2</f>
        <v>13.91</v>
      </c>
    </row>
    <row r="76" spans="1:3" ht="13.5" thickBot="1">
      <c r="A76" s="3">
        <v>1023652168</v>
      </c>
      <c r="B76" s="9">
        <f t="shared" ca="1" si="2"/>
        <v>115</v>
      </c>
      <c r="C76" s="144">
        <f t="shared" ca="1" si="3"/>
        <v>14.950000000000001</v>
      </c>
    </row>
    <row r="77" spans="1:3" ht="13.5" thickBot="1">
      <c r="A77" s="3">
        <f>A76+13</f>
        <v>1023652181</v>
      </c>
      <c r="B77" s="9">
        <f t="shared" ca="1" si="2"/>
        <v>103</v>
      </c>
      <c r="C77" s="144">
        <f t="shared" ca="1" si="3"/>
        <v>13.39</v>
      </c>
    </row>
    <row r="78" spans="1:3" ht="13.5" thickBot="1">
      <c r="A78" s="3">
        <v>1023652169</v>
      </c>
      <c r="B78" s="9">
        <f t="shared" ca="1" si="2"/>
        <v>420</v>
      </c>
      <c r="C78" s="144">
        <f t="shared" ca="1" si="3"/>
        <v>54.6</v>
      </c>
    </row>
    <row r="79" spans="1:3" ht="13.5" thickBot="1">
      <c r="A79" s="3">
        <f>A78+13</f>
        <v>1023652182</v>
      </c>
      <c r="B79" s="9">
        <f t="shared" ca="1" si="2"/>
        <v>385</v>
      </c>
      <c r="C79" s="144">
        <f t="shared" ca="1" si="3"/>
        <v>50.050000000000004</v>
      </c>
    </row>
    <row r="80" spans="1:3" ht="13.5" thickBot="1">
      <c r="A80" s="3">
        <v>1023652170</v>
      </c>
      <c r="B80" s="9">
        <f t="shared" ca="1" si="2"/>
        <v>129</v>
      </c>
      <c r="C80" s="144">
        <f t="shared" ca="1" si="3"/>
        <v>16.77</v>
      </c>
    </row>
    <row r="81" spans="1:3" ht="13.5" thickBot="1">
      <c r="A81" s="3">
        <f>A80+13</f>
        <v>1023652183</v>
      </c>
      <c r="B81" s="9">
        <f t="shared" ca="1" si="2"/>
        <v>383</v>
      </c>
      <c r="C81" s="144">
        <f t="shared" ca="1" si="3"/>
        <v>49.79</v>
      </c>
    </row>
    <row r="82" spans="1:3" ht="13.5" thickBot="1">
      <c r="A82" s="3">
        <v>1023652171</v>
      </c>
      <c r="B82" s="9">
        <f t="shared" ca="1" si="2"/>
        <v>408</v>
      </c>
      <c r="C82" s="144">
        <f t="shared" ca="1" si="3"/>
        <v>53.04</v>
      </c>
    </row>
    <row r="83" spans="1:3" ht="13.5" thickBot="1">
      <c r="A83" s="3">
        <f>A82+13</f>
        <v>1023652184</v>
      </c>
      <c r="B83" s="9">
        <f t="shared" ca="1" si="2"/>
        <v>104</v>
      </c>
      <c r="C83" s="144">
        <f t="shared" ca="1" si="3"/>
        <v>13.52</v>
      </c>
    </row>
    <row r="84" spans="1:3" ht="13.5" thickBot="1">
      <c r="A84" s="3">
        <v>1023652172</v>
      </c>
      <c r="B84" s="9">
        <f t="shared" ca="1" si="2"/>
        <v>150</v>
      </c>
      <c r="C84" s="144">
        <f t="shared" ca="1" si="3"/>
        <v>19.5</v>
      </c>
    </row>
    <row r="85" spans="1:3" ht="13.5" thickBot="1">
      <c r="A85" s="3">
        <f>A84+13</f>
        <v>1023652185</v>
      </c>
      <c r="B85" s="9">
        <f t="shared" ca="1" si="2"/>
        <v>55</v>
      </c>
      <c r="C85" s="144">
        <f t="shared" ca="1" si="3"/>
        <v>7.15</v>
      </c>
    </row>
    <row r="86" spans="1:3" ht="13.5" thickBot="1">
      <c r="A86" s="3">
        <v>1023652173</v>
      </c>
      <c r="B86" s="9">
        <f t="shared" ca="1" si="2"/>
        <v>92</v>
      </c>
      <c r="C86" s="144">
        <f t="shared" ca="1" si="3"/>
        <v>11.96</v>
      </c>
    </row>
    <row r="87" spans="1:3" ht="13.5" thickBot="1">
      <c r="A87" s="3">
        <f>A86+13</f>
        <v>1023652186</v>
      </c>
      <c r="B87" s="9">
        <f t="shared" ca="1" si="2"/>
        <v>358</v>
      </c>
      <c r="C87" s="144">
        <f t="shared" ca="1" si="3"/>
        <v>46.54</v>
      </c>
    </row>
    <row r="88" spans="1:3" ht="13.5" thickBot="1">
      <c r="A88" s="3">
        <v>1023652174</v>
      </c>
      <c r="B88" s="9">
        <f t="shared" ca="1" si="2"/>
        <v>347</v>
      </c>
      <c r="C88" s="144">
        <f t="shared" ca="1" si="3"/>
        <v>45.11</v>
      </c>
    </row>
    <row r="89" spans="1:3" ht="13.5" thickBot="1">
      <c r="A89" s="3">
        <f>A88+13</f>
        <v>1023652187</v>
      </c>
      <c r="B89" s="9">
        <f t="shared" ca="1" si="2"/>
        <v>255</v>
      </c>
      <c r="C89" s="144">
        <f t="shared" ca="1" si="3"/>
        <v>33.15</v>
      </c>
    </row>
    <row r="90" spans="1:3" ht="13.5" thickBot="1">
      <c r="A90" s="3">
        <v>1023652175</v>
      </c>
      <c r="B90" s="9">
        <f t="shared" ca="1" si="2"/>
        <v>55</v>
      </c>
      <c r="C90" s="144">
        <f t="shared" ca="1" si="3"/>
        <v>7.15</v>
      </c>
    </row>
    <row r="91" spans="1:3" ht="13.5" thickBot="1">
      <c r="A91" s="3">
        <f>A90+13</f>
        <v>1023652188</v>
      </c>
      <c r="B91" s="9">
        <f t="shared" ca="1" si="2"/>
        <v>55</v>
      </c>
      <c r="C91" s="144">
        <f t="shared" ca="1" si="3"/>
        <v>7.15</v>
      </c>
    </row>
    <row r="92" spans="1:3" ht="13.5" thickBot="1">
      <c r="A92" s="3">
        <v>1023652176</v>
      </c>
      <c r="B92" s="9">
        <f t="shared" ca="1" si="2"/>
        <v>335</v>
      </c>
      <c r="C92" s="144">
        <f t="shared" ca="1" si="3"/>
        <v>43.550000000000004</v>
      </c>
    </row>
    <row r="93" spans="1:3" ht="13.5" thickBot="1">
      <c r="A93" s="3">
        <f>A92+13</f>
        <v>1023652189</v>
      </c>
      <c r="B93" s="9">
        <f t="shared" ca="1" si="2"/>
        <v>302</v>
      </c>
      <c r="C93" s="144">
        <f t="shared" ca="1" si="3"/>
        <v>39.26</v>
      </c>
    </row>
    <row r="94" spans="1:3" ht="13.5" thickBot="1">
      <c r="A94" s="3">
        <v>1023652177</v>
      </c>
      <c r="B94" s="9">
        <f t="shared" ca="1" si="2"/>
        <v>275</v>
      </c>
      <c r="C94" s="144">
        <f t="shared" ca="1" si="3"/>
        <v>35.75</v>
      </c>
    </row>
    <row r="95" spans="1:3" ht="13.5" thickBot="1">
      <c r="A95" s="3">
        <f>A94+13</f>
        <v>1023652190</v>
      </c>
      <c r="B95" s="9">
        <f t="shared" ca="1" si="2"/>
        <v>412</v>
      </c>
      <c r="C95" s="144">
        <f t="shared" ca="1" si="3"/>
        <v>53.56</v>
      </c>
    </row>
    <row r="96" spans="1:3" ht="13.5" thickBot="1">
      <c r="A96" s="3">
        <v>1023652178</v>
      </c>
      <c r="B96" s="9">
        <f t="shared" ca="1" si="2"/>
        <v>399</v>
      </c>
      <c r="C96" s="144">
        <f t="shared" ca="1" si="3"/>
        <v>51.870000000000005</v>
      </c>
    </row>
    <row r="97" spans="1:3" ht="13.5" thickBot="1">
      <c r="A97" s="3">
        <f>A96+13</f>
        <v>1023652191</v>
      </c>
      <c r="B97" s="9">
        <f t="shared" ca="1" si="2"/>
        <v>262</v>
      </c>
      <c r="C97" s="144">
        <f t="shared" ca="1" si="3"/>
        <v>34.06</v>
      </c>
    </row>
    <row r="98" spans="1:3" ht="13.5" thickBot="1">
      <c r="A98" s="3">
        <v>1023652179</v>
      </c>
      <c r="B98" s="9">
        <f t="shared" ca="1" si="2"/>
        <v>363</v>
      </c>
      <c r="C98" s="144">
        <f t="shared" ca="1" si="3"/>
        <v>47.190000000000005</v>
      </c>
    </row>
    <row r="99" spans="1:3" ht="13.5" thickBot="1">
      <c r="A99" s="3">
        <f>A98+13</f>
        <v>1023652192</v>
      </c>
      <c r="B99" s="9">
        <f t="shared" ca="1" si="2"/>
        <v>92</v>
      </c>
      <c r="C99" s="144">
        <f t="shared" ca="1" si="3"/>
        <v>11.96</v>
      </c>
    </row>
    <row r="100" spans="1:3" ht="13.5" thickBot="1">
      <c r="A100" s="3">
        <v>1023652180</v>
      </c>
      <c r="B100" s="9">
        <f t="shared" ca="1" si="2"/>
        <v>298</v>
      </c>
      <c r="C100" s="144">
        <f t="shared" ca="1" si="3"/>
        <v>38.74</v>
      </c>
    </row>
    <row r="101" spans="1:3" ht="13.5" thickBot="1">
      <c r="A101" s="3">
        <f>A100+13</f>
        <v>1023652193</v>
      </c>
      <c r="B101" s="9">
        <f t="shared" ca="1" si="2"/>
        <v>327</v>
      </c>
      <c r="C101" s="144">
        <f t="shared" ca="1" si="3"/>
        <v>42.51</v>
      </c>
    </row>
    <row r="102" spans="1:3" ht="13.5" thickBot="1">
      <c r="A102" s="3">
        <v>1023652181</v>
      </c>
      <c r="B102" s="9">
        <f t="shared" ca="1" si="2"/>
        <v>95</v>
      </c>
      <c r="C102" s="144">
        <f t="shared" ca="1" si="3"/>
        <v>12.35</v>
      </c>
    </row>
    <row r="103" spans="1:3" ht="13.5" thickBot="1">
      <c r="A103" s="3">
        <f>A102+13</f>
        <v>1023652194</v>
      </c>
      <c r="B103" s="9">
        <f t="shared" ca="1" si="2"/>
        <v>132</v>
      </c>
      <c r="C103" s="144">
        <f t="shared" ca="1" si="3"/>
        <v>17.16</v>
      </c>
    </row>
    <row r="104" spans="1:3" ht="13.5" thickBot="1">
      <c r="A104" s="3">
        <v>1023652182</v>
      </c>
      <c r="B104" s="9">
        <f t="shared" ca="1" si="2"/>
        <v>81</v>
      </c>
      <c r="C104" s="144">
        <f t="shared" ca="1" si="3"/>
        <v>10.530000000000001</v>
      </c>
    </row>
    <row r="105" spans="1:3" ht="13.5" thickBot="1">
      <c r="A105" s="3">
        <f>A104+13</f>
        <v>1023652195</v>
      </c>
      <c r="B105" s="9">
        <f t="shared" ca="1" si="2"/>
        <v>118</v>
      </c>
      <c r="C105" s="144">
        <f t="shared" ca="1" si="3"/>
        <v>15.34</v>
      </c>
    </row>
    <row r="106" spans="1:3" ht="13.5" thickBot="1">
      <c r="A106" s="3">
        <v>1023652183</v>
      </c>
      <c r="B106" s="9">
        <f t="shared" ca="1" si="2"/>
        <v>73</v>
      </c>
      <c r="C106" s="144">
        <f t="shared" ca="1" si="3"/>
        <v>9.49</v>
      </c>
    </row>
    <row r="107" spans="1:3" ht="13.5" thickBot="1">
      <c r="A107" s="3">
        <f>A106+13</f>
        <v>1023652196</v>
      </c>
      <c r="B107" s="9">
        <f t="shared" ca="1" si="2"/>
        <v>55</v>
      </c>
      <c r="C107" s="144">
        <f t="shared" ca="1" si="3"/>
        <v>7.15</v>
      </c>
    </row>
    <row r="108" spans="1:3" ht="13.5" thickBot="1">
      <c r="A108" s="3">
        <v>1023652184</v>
      </c>
      <c r="B108" s="9">
        <f t="shared" ca="1" si="2"/>
        <v>334</v>
      </c>
      <c r="C108" s="144">
        <f t="shared" ca="1" si="3"/>
        <v>43.42</v>
      </c>
    </row>
    <row r="109" spans="1:3" ht="13.5" thickBot="1">
      <c r="A109" s="3">
        <f>A108+13</f>
        <v>1023652197</v>
      </c>
      <c r="B109" s="9">
        <f t="shared" ca="1" si="2"/>
        <v>77</v>
      </c>
      <c r="C109" s="144">
        <f t="shared" ca="1" si="3"/>
        <v>10.01</v>
      </c>
    </row>
    <row r="110" spans="1:3" ht="13.5" thickBot="1">
      <c r="A110" s="3">
        <v>1023652185</v>
      </c>
      <c r="B110" s="9">
        <f t="shared" ca="1" si="2"/>
        <v>141</v>
      </c>
      <c r="C110" s="144">
        <f t="shared" ca="1" si="3"/>
        <v>18.330000000000002</v>
      </c>
    </row>
    <row r="111" spans="1:3" ht="13.5" thickBot="1">
      <c r="A111" s="3">
        <f>A110+13</f>
        <v>1023652198</v>
      </c>
      <c r="B111" s="9">
        <f t="shared" ca="1" si="2"/>
        <v>149</v>
      </c>
      <c r="C111" s="144">
        <f t="shared" ca="1" si="3"/>
        <v>19.37</v>
      </c>
    </row>
    <row r="112" spans="1:3" ht="13.5" thickBot="1">
      <c r="A112" s="3">
        <v>1023652186</v>
      </c>
      <c r="B112" s="9">
        <f t="shared" ca="1" si="2"/>
        <v>384</v>
      </c>
      <c r="C112" s="144">
        <f t="shared" ca="1" si="3"/>
        <v>49.92</v>
      </c>
    </row>
    <row r="113" spans="1:3" ht="13.5" thickBot="1">
      <c r="A113" s="3">
        <f>A112+13</f>
        <v>1023652199</v>
      </c>
      <c r="B113" s="9">
        <f t="shared" ca="1" si="2"/>
        <v>167</v>
      </c>
      <c r="C113" s="144">
        <f t="shared" ca="1" si="3"/>
        <v>21.71</v>
      </c>
    </row>
    <row r="114" spans="1:3" ht="13.5" thickBot="1">
      <c r="A114" s="3">
        <v>1023652187</v>
      </c>
      <c r="B114" s="9">
        <f t="shared" ca="1" si="2"/>
        <v>69</v>
      </c>
      <c r="C114" s="144">
        <f t="shared" ca="1" si="3"/>
        <v>8.9700000000000006</v>
      </c>
    </row>
    <row r="115" spans="1:3" ht="13.5" thickBot="1">
      <c r="A115" s="3">
        <f>A114+13</f>
        <v>1023652200</v>
      </c>
      <c r="B115" s="9">
        <f t="shared" ca="1" si="2"/>
        <v>126</v>
      </c>
      <c r="C115" s="144">
        <f t="shared" ca="1" si="3"/>
        <v>16.38</v>
      </c>
    </row>
    <row r="116" spans="1:3" ht="13.5" thickBot="1">
      <c r="A116" s="3">
        <v>1023652188</v>
      </c>
      <c r="B116" s="9">
        <f t="shared" ca="1" si="2"/>
        <v>321</v>
      </c>
      <c r="C116" s="144">
        <f t="shared" ca="1" si="3"/>
        <v>41.730000000000004</v>
      </c>
    </row>
    <row r="117" spans="1:3" ht="13.5" thickBot="1">
      <c r="A117" s="3">
        <f>A116+13</f>
        <v>1023652201</v>
      </c>
      <c r="B117" s="9">
        <f t="shared" ca="1" si="2"/>
        <v>324</v>
      </c>
      <c r="C117" s="144">
        <f t="shared" ca="1" si="3"/>
        <v>42.120000000000005</v>
      </c>
    </row>
    <row r="118" spans="1:3" ht="13.5" thickBot="1">
      <c r="A118" s="3">
        <v>1023652189</v>
      </c>
      <c r="B118" s="9">
        <f t="shared" ca="1" si="2"/>
        <v>310</v>
      </c>
      <c r="C118" s="144">
        <f t="shared" ca="1" si="3"/>
        <v>40.300000000000004</v>
      </c>
    </row>
    <row r="119" spans="1:3" ht="13.5" thickBot="1">
      <c r="A119" s="3">
        <f>A118+13</f>
        <v>1023652202</v>
      </c>
      <c r="B119" s="9">
        <f t="shared" ca="1" si="2"/>
        <v>73</v>
      </c>
      <c r="C119" s="144">
        <f t="shared" ca="1" si="3"/>
        <v>9.49</v>
      </c>
    </row>
    <row r="120" spans="1:3" ht="13.5" thickBot="1">
      <c r="A120" s="3">
        <v>1023652190</v>
      </c>
      <c r="B120" s="9">
        <f t="shared" ca="1" si="2"/>
        <v>93</v>
      </c>
      <c r="C120" s="144">
        <f t="shared" ca="1" si="3"/>
        <v>12.09</v>
      </c>
    </row>
    <row r="121" spans="1:3" ht="13.5" thickBot="1">
      <c r="A121" s="3">
        <f>A120+13</f>
        <v>1023652203</v>
      </c>
      <c r="B121" s="9">
        <f t="shared" ca="1" si="2"/>
        <v>325</v>
      </c>
      <c r="C121" s="144">
        <f t="shared" ca="1" si="3"/>
        <v>42.25</v>
      </c>
    </row>
    <row r="122" spans="1:3" ht="13.5" thickBot="1">
      <c r="A122" s="3">
        <v>1023652191</v>
      </c>
      <c r="B122" s="9">
        <f t="shared" ca="1" si="2"/>
        <v>382</v>
      </c>
      <c r="C122" s="144">
        <f t="shared" ca="1" si="3"/>
        <v>49.660000000000004</v>
      </c>
    </row>
    <row r="123" spans="1:3" ht="13.5" thickBot="1">
      <c r="A123" s="3">
        <f>A122+13</f>
        <v>1023652204</v>
      </c>
      <c r="B123" s="9">
        <f t="shared" ca="1" si="2"/>
        <v>36</v>
      </c>
      <c r="C123" s="144">
        <f t="shared" ca="1" si="3"/>
        <v>4.68</v>
      </c>
    </row>
    <row r="124" spans="1:3" ht="13.5" thickBot="1">
      <c r="A124" s="3">
        <v>1023652192</v>
      </c>
      <c r="B124" s="9">
        <f t="shared" ca="1" si="2"/>
        <v>369</v>
      </c>
      <c r="C124" s="144">
        <f t="shared" ca="1" si="3"/>
        <v>47.97</v>
      </c>
    </row>
    <row r="125" spans="1:3" ht="13.5" thickBot="1">
      <c r="A125" s="3">
        <f>A124+13</f>
        <v>1023652205</v>
      </c>
      <c r="B125" s="9">
        <f t="shared" ca="1" si="2"/>
        <v>353</v>
      </c>
      <c r="C125" s="144">
        <f t="shared" ca="1" si="3"/>
        <v>45.89</v>
      </c>
    </row>
    <row r="126" spans="1:3" ht="13.5" thickBot="1">
      <c r="A126" s="3">
        <v>1023652193</v>
      </c>
      <c r="B126" s="9">
        <f t="shared" ca="1" si="2"/>
        <v>165</v>
      </c>
      <c r="C126" s="144">
        <f t="shared" ca="1" si="3"/>
        <v>21.45</v>
      </c>
    </row>
    <row r="127" spans="1:3" ht="13.5" thickBot="1">
      <c r="A127" s="3">
        <f>A126+13</f>
        <v>1023652206</v>
      </c>
      <c r="B127" s="9">
        <f t="shared" ca="1" si="2"/>
        <v>343</v>
      </c>
      <c r="C127" s="144">
        <f t="shared" ca="1" si="3"/>
        <v>44.59</v>
      </c>
    </row>
    <row r="128" spans="1:3" ht="13.5" thickBot="1">
      <c r="A128" s="3">
        <v>1023652194</v>
      </c>
      <c r="B128" s="9">
        <f t="shared" ca="1" si="2"/>
        <v>356</v>
      </c>
      <c r="C128" s="144">
        <f t="shared" ca="1" si="3"/>
        <v>46.28</v>
      </c>
    </row>
    <row r="129" spans="1:3" ht="13.5" thickBot="1">
      <c r="A129" s="3">
        <f>A128+13</f>
        <v>1023652207</v>
      </c>
      <c r="B129" s="9">
        <f t="shared" ca="1" si="2"/>
        <v>362</v>
      </c>
      <c r="C129" s="144">
        <f t="shared" ca="1" si="3"/>
        <v>47.06</v>
      </c>
    </row>
    <row r="130" spans="1:3" ht="13.5" thickBot="1">
      <c r="A130" s="3">
        <v>1023652195</v>
      </c>
      <c r="B130" s="9">
        <f t="shared" ca="1" si="2"/>
        <v>113</v>
      </c>
      <c r="C130" s="144">
        <f t="shared" ca="1" si="3"/>
        <v>14.690000000000001</v>
      </c>
    </row>
    <row r="131" spans="1:3" ht="13.5" thickBot="1">
      <c r="A131" s="3">
        <f>A130+13</f>
        <v>1023652208</v>
      </c>
      <c r="B131" s="9">
        <f t="shared" ca="1" si="2"/>
        <v>237</v>
      </c>
      <c r="C131" s="144">
        <f t="shared" ca="1" si="3"/>
        <v>30.810000000000002</v>
      </c>
    </row>
    <row r="132" spans="1:3" ht="13.5" thickBot="1">
      <c r="A132" s="3">
        <v>1023652196</v>
      </c>
      <c r="B132" s="9">
        <f t="shared" ca="1" si="2"/>
        <v>359</v>
      </c>
      <c r="C132" s="144">
        <f t="shared" ca="1" si="3"/>
        <v>46.67</v>
      </c>
    </row>
    <row r="133" spans="1:3" ht="13.5" thickBot="1">
      <c r="A133" s="3">
        <f>A132+13</f>
        <v>1023652209</v>
      </c>
      <c r="B133" s="9">
        <f t="shared" ca="1" si="2"/>
        <v>412</v>
      </c>
      <c r="C133" s="144">
        <f t="shared" ca="1" si="3"/>
        <v>53.56</v>
      </c>
    </row>
    <row r="134" spans="1:3" ht="13.5" thickBot="1">
      <c r="A134" s="3">
        <v>1023652197</v>
      </c>
      <c r="B134" s="9">
        <f t="shared" ca="1" si="2"/>
        <v>379</v>
      </c>
      <c r="C134" s="144">
        <f t="shared" ca="1" si="3"/>
        <v>49.27</v>
      </c>
    </row>
    <row r="135" spans="1:3" ht="13.5" thickBot="1">
      <c r="A135" s="3">
        <f>A134+13</f>
        <v>1023652210</v>
      </c>
      <c r="B135" s="9">
        <f t="shared" ca="1" si="2"/>
        <v>167</v>
      </c>
      <c r="C135" s="144">
        <f t="shared" ca="1" si="3"/>
        <v>21.71</v>
      </c>
    </row>
    <row r="136" spans="1:3" ht="13.5" thickBot="1">
      <c r="A136" s="3">
        <v>1023652198</v>
      </c>
      <c r="B136" s="9">
        <f t="shared" ca="1" si="2"/>
        <v>287</v>
      </c>
      <c r="C136" s="144">
        <f t="shared" ca="1" si="3"/>
        <v>37.31</v>
      </c>
    </row>
    <row r="137" spans="1:3" ht="13.5" thickBot="1">
      <c r="A137" s="3">
        <f>A136+13</f>
        <v>1023652211</v>
      </c>
      <c r="B137" s="9">
        <f t="shared" ca="1" si="2"/>
        <v>45</v>
      </c>
      <c r="C137" s="144">
        <f t="shared" ca="1" si="3"/>
        <v>5.8500000000000005</v>
      </c>
    </row>
    <row r="138" spans="1:3" ht="13.5" thickBot="1">
      <c r="A138" s="3">
        <v>1023652199</v>
      </c>
      <c r="B138" s="9">
        <f t="shared" ca="1" si="2"/>
        <v>150</v>
      </c>
      <c r="C138" s="144">
        <f t="shared" ca="1" si="3"/>
        <v>19.5</v>
      </c>
    </row>
    <row r="139" spans="1:3" ht="13.5" thickBot="1">
      <c r="A139" s="3">
        <f>A138+13</f>
        <v>1023652212</v>
      </c>
      <c r="B139" s="9">
        <f t="shared" ref="B139:B200" ca="1" si="4">ROUND(RAND()*400+20,0)</f>
        <v>344</v>
      </c>
      <c r="C139" s="144">
        <f t="shared" ref="C139:C200" ca="1" si="5">B139*$B$2</f>
        <v>44.72</v>
      </c>
    </row>
    <row r="140" spans="1:3" ht="13.5" thickBot="1">
      <c r="A140" s="3">
        <v>1023652200</v>
      </c>
      <c r="B140" s="9">
        <f t="shared" ca="1" si="4"/>
        <v>391</v>
      </c>
      <c r="C140" s="144">
        <f t="shared" ca="1" si="5"/>
        <v>50.83</v>
      </c>
    </row>
    <row r="141" spans="1:3" ht="13.5" thickBot="1">
      <c r="A141" s="3">
        <f>A140+13</f>
        <v>1023652213</v>
      </c>
      <c r="B141" s="9">
        <f t="shared" ca="1" si="4"/>
        <v>231</v>
      </c>
      <c r="C141" s="144">
        <f t="shared" ca="1" si="5"/>
        <v>30.03</v>
      </c>
    </row>
    <row r="142" spans="1:3" ht="13.5" thickBot="1">
      <c r="A142" s="3">
        <v>1023652201</v>
      </c>
      <c r="B142" s="9">
        <f t="shared" ca="1" si="4"/>
        <v>155</v>
      </c>
      <c r="C142" s="144">
        <f t="shared" ca="1" si="5"/>
        <v>20.150000000000002</v>
      </c>
    </row>
    <row r="143" spans="1:3" ht="13.5" thickBot="1">
      <c r="A143" s="3">
        <f>A142+13</f>
        <v>1023652214</v>
      </c>
      <c r="B143" s="9">
        <f t="shared" ca="1" si="4"/>
        <v>296</v>
      </c>
      <c r="C143" s="144">
        <f t="shared" ca="1" si="5"/>
        <v>38.480000000000004</v>
      </c>
    </row>
    <row r="144" spans="1:3" ht="13.5" thickBot="1">
      <c r="A144" s="3">
        <v>1023652202</v>
      </c>
      <c r="B144" s="9">
        <f t="shared" ca="1" si="4"/>
        <v>322</v>
      </c>
      <c r="C144" s="144">
        <f t="shared" ca="1" si="5"/>
        <v>41.86</v>
      </c>
    </row>
    <row r="145" spans="1:3" ht="13.5" thickBot="1">
      <c r="A145" s="3">
        <f>A144+13</f>
        <v>1023652215</v>
      </c>
      <c r="B145" s="9">
        <f t="shared" ca="1" si="4"/>
        <v>303</v>
      </c>
      <c r="C145" s="144">
        <f t="shared" ca="1" si="5"/>
        <v>39.39</v>
      </c>
    </row>
    <row r="146" spans="1:3" ht="13.5" thickBot="1">
      <c r="A146" s="3">
        <v>1023652203</v>
      </c>
      <c r="B146" s="9">
        <f t="shared" ca="1" si="4"/>
        <v>414</v>
      </c>
      <c r="C146" s="144">
        <f t="shared" ca="1" si="5"/>
        <v>53.82</v>
      </c>
    </row>
    <row r="147" spans="1:3" ht="13.5" thickBot="1">
      <c r="A147" s="3">
        <f>A146+13</f>
        <v>1023652216</v>
      </c>
      <c r="B147" s="9">
        <f t="shared" ca="1" si="4"/>
        <v>239</v>
      </c>
      <c r="C147" s="144">
        <f t="shared" ca="1" si="5"/>
        <v>31.07</v>
      </c>
    </row>
    <row r="148" spans="1:3" ht="13.5" thickBot="1">
      <c r="A148" s="3">
        <v>1023652204</v>
      </c>
      <c r="B148" s="9">
        <f t="shared" ca="1" si="4"/>
        <v>306</v>
      </c>
      <c r="C148" s="144">
        <f t="shared" ca="1" si="5"/>
        <v>39.78</v>
      </c>
    </row>
    <row r="149" spans="1:3" ht="13.5" thickBot="1">
      <c r="A149" s="3">
        <f>A148+13</f>
        <v>1023652217</v>
      </c>
      <c r="B149" s="9">
        <f t="shared" ca="1" si="4"/>
        <v>232</v>
      </c>
      <c r="C149" s="144">
        <f t="shared" ca="1" si="5"/>
        <v>30.16</v>
      </c>
    </row>
    <row r="150" spans="1:3" ht="13.5" thickBot="1">
      <c r="A150" s="3">
        <v>1023652205</v>
      </c>
      <c r="B150" s="9">
        <f t="shared" ca="1" si="4"/>
        <v>312</v>
      </c>
      <c r="C150" s="144">
        <f t="shared" ca="1" si="5"/>
        <v>40.56</v>
      </c>
    </row>
    <row r="151" spans="1:3" ht="13.5" thickBot="1">
      <c r="A151" s="3">
        <f>A150+13</f>
        <v>1023652218</v>
      </c>
      <c r="B151" s="9">
        <f t="shared" ca="1" si="4"/>
        <v>153</v>
      </c>
      <c r="C151" s="144">
        <f t="shared" ca="1" si="5"/>
        <v>19.89</v>
      </c>
    </row>
    <row r="152" spans="1:3" ht="13.5" thickBot="1">
      <c r="A152" s="3">
        <v>1023652206</v>
      </c>
      <c r="B152" s="9">
        <f t="shared" ca="1" si="4"/>
        <v>74</v>
      </c>
      <c r="C152" s="144">
        <f t="shared" ca="1" si="5"/>
        <v>9.620000000000001</v>
      </c>
    </row>
    <row r="153" spans="1:3" ht="13.5" thickBot="1">
      <c r="A153" s="3">
        <f>A152+13</f>
        <v>1023652219</v>
      </c>
      <c r="B153" s="9">
        <f t="shared" ca="1" si="4"/>
        <v>321</v>
      </c>
      <c r="C153" s="144">
        <f t="shared" ca="1" si="5"/>
        <v>41.730000000000004</v>
      </c>
    </row>
    <row r="154" spans="1:3" ht="13.5" thickBot="1">
      <c r="A154" s="3">
        <v>1023652207</v>
      </c>
      <c r="B154" s="9">
        <f t="shared" ca="1" si="4"/>
        <v>237</v>
      </c>
      <c r="C154" s="144">
        <f t="shared" ca="1" si="5"/>
        <v>30.810000000000002</v>
      </c>
    </row>
    <row r="155" spans="1:3" ht="13.5" thickBot="1">
      <c r="A155" s="3">
        <f>A154+13</f>
        <v>1023652220</v>
      </c>
      <c r="B155" s="9">
        <f t="shared" ca="1" si="4"/>
        <v>146</v>
      </c>
      <c r="C155" s="144">
        <f t="shared" ca="1" si="5"/>
        <v>18.98</v>
      </c>
    </row>
    <row r="156" spans="1:3" ht="13.5" thickBot="1">
      <c r="A156" s="3">
        <v>1023652208</v>
      </c>
      <c r="B156" s="9">
        <f t="shared" ca="1" si="4"/>
        <v>108</v>
      </c>
      <c r="C156" s="144">
        <f t="shared" ca="1" si="5"/>
        <v>14.040000000000001</v>
      </c>
    </row>
    <row r="157" spans="1:3" ht="13.5" thickBot="1">
      <c r="A157" s="3">
        <f>A156+13</f>
        <v>1023652221</v>
      </c>
      <c r="B157" s="9">
        <f t="shared" ca="1" si="4"/>
        <v>353</v>
      </c>
      <c r="C157" s="144">
        <f t="shared" ca="1" si="5"/>
        <v>45.89</v>
      </c>
    </row>
    <row r="158" spans="1:3" ht="13.5" thickBot="1">
      <c r="A158" s="3">
        <v>1023652209</v>
      </c>
      <c r="B158" s="9">
        <f t="shared" ca="1" si="4"/>
        <v>171</v>
      </c>
      <c r="C158" s="144">
        <f t="shared" ca="1" si="5"/>
        <v>22.23</v>
      </c>
    </row>
    <row r="159" spans="1:3" ht="13.5" thickBot="1">
      <c r="A159" s="3">
        <f>A158+13</f>
        <v>1023652222</v>
      </c>
      <c r="B159" s="9">
        <f t="shared" ca="1" si="4"/>
        <v>108</v>
      </c>
      <c r="C159" s="144">
        <f t="shared" ca="1" si="5"/>
        <v>14.040000000000001</v>
      </c>
    </row>
    <row r="160" spans="1:3" ht="13.5" thickBot="1">
      <c r="A160" s="3">
        <v>1023652210</v>
      </c>
      <c r="B160" s="9">
        <f t="shared" ca="1" si="4"/>
        <v>205</v>
      </c>
      <c r="C160" s="144">
        <f t="shared" ca="1" si="5"/>
        <v>26.650000000000002</v>
      </c>
    </row>
    <row r="161" spans="1:3" ht="13.5" thickBot="1">
      <c r="A161" s="3">
        <f>A160+13</f>
        <v>1023652223</v>
      </c>
      <c r="B161" s="9">
        <f t="shared" ca="1" si="4"/>
        <v>141</v>
      </c>
      <c r="C161" s="144">
        <f t="shared" ca="1" si="5"/>
        <v>18.330000000000002</v>
      </c>
    </row>
    <row r="162" spans="1:3" ht="13.5" thickBot="1">
      <c r="A162" s="3">
        <v>1023652211</v>
      </c>
      <c r="B162" s="9">
        <f t="shared" ca="1" si="4"/>
        <v>125</v>
      </c>
      <c r="C162" s="144">
        <f t="shared" ca="1" si="5"/>
        <v>16.25</v>
      </c>
    </row>
    <row r="163" spans="1:3" ht="13.5" thickBot="1">
      <c r="A163" s="3">
        <f>A162+13</f>
        <v>1023652224</v>
      </c>
      <c r="B163" s="9">
        <f t="shared" ca="1" si="4"/>
        <v>152</v>
      </c>
      <c r="C163" s="144">
        <f t="shared" ca="1" si="5"/>
        <v>19.760000000000002</v>
      </c>
    </row>
    <row r="164" spans="1:3" ht="13.5" thickBot="1">
      <c r="A164" s="3">
        <v>1023652212</v>
      </c>
      <c r="B164" s="9">
        <f t="shared" ca="1" si="4"/>
        <v>41</v>
      </c>
      <c r="C164" s="144">
        <f t="shared" ca="1" si="5"/>
        <v>5.33</v>
      </c>
    </row>
    <row r="165" spans="1:3" ht="13.5" thickBot="1">
      <c r="A165" s="3">
        <f>A164+13</f>
        <v>1023652225</v>
      </c>
      <c r="B165" s="9">
        <f t="shared" ca="1" si="4"/>
        <v>70</v>
      </c>
      <c r="C165" s="144">
        <f t="shared" ca="1" si="5"/>
        <v>9.1</v>
      </c>
    </row>
    <row r="166" spans="1:3" ht="13.5" thickBot="1">
      <c r="A166" s="3">
        <v>1023652213</v>
      </c>
      <c r="B166" s="9">
        <f t="shared" ca="1" si="4"/>
        <v>270</v>
      </c>
      <c r="C166" s="144">
        <f t="shared" ca="1" si="5"/>
        <v>35.1</v>
      </c>
    </row>
    <row r="167" spans="1:3" ht="13.5" thickBot="1">
      <c r="A167" s="3">
        <f>A166+13</f>
        <v>1023652226</v>
      </c>
      <c r="B167" s="9">
        <f t="shared" ca="1" si="4"/>
        <v>52</v>
      </c>
      <c r="C167" s="144">
        <f t="shared" ca="1" si="5"/>
        <v>6.76</v>
      </c>
    </row>
    <row r="168" spans="1:3" ht="13.5" thickBot="1">
      <c r="A168" s="3">
        <v>1023652214</v>
      </c>
      <c r="B168" s="9">
        <f t="shared" ca="1" si="4"/>
        <v>57</v>
      </c>
      <c r="C168" s="144">
        <f t="shared" ca="1" si="5"/>
        <v>7.41</v>
      </c>
    </row>
    <row r="169" spans="1:3" ht="13.5" thickBot="1">
      <c r="A169" s="3">
        <f>A168+13</f>
        <v>1023652227</v>
      </c>
      <c r="B169" s="9">
        <f t="shared" ca="1" si="4"/>
        <v>40</v>
      </c>
      <c r="C169" s="144">
        <f t="shared" ca="1" si="5"/>
        <v>5.2</v>
      </c>
    </row>
    <row r="170" spans="1:3" ht="13.5" thickBot="1">
      <c r="A170" s="3">
        <v>1023652215</v>
      </c>
      <c r="B170" s="9">
        <f t="shared" ca="1" si="4"/>
        <v>353</v>
      </c>
      <c r="C170" s="144">
        <f t="shared" ca="1" si="5"/>
        <v>45.89</v>
      </c>
    </row>
    <row r="171" spans="1:3" ht="13.5" thickBot="1">
      <c r="A171" s="3">
        <f>A170+13</f>
        <v>1023652228</v>
      </c>
      <c r="B171" s="9">
        <f t="shared" ca="1" si="4"/>
        <v>207</v>
      </c>
      <c r="C171" s="144">
        <f t="shared" ca="1" si="5"/>
        <v>26.91</v>
      </c>
    </row>
    <row r="172" spans="1:3" ht="13.5" thickBot="1">
      <c r="A172" s="3">
        <v>1023652216</v>
      </c>
      <c r="B172" s="9">
        <f t="shared" ca="1" si="4"/>
        <v>264</v>
      </c>
      <c r="C172" s="144">
        <f t="shared" ca="1" si="5"/>
        <v>34.32</v>
      </c>
    </row>
    <row r="173" spans="1:3" ht="13.5" thickBot="1">
      <c r="A173" s="3">
        <f>A172+13</f>
        <v>1023652229</v>
      </c>
      <c r="B173" s="9">
        <f t="shared" ca="1" si="4"/>
        <v>204</v>
      </c>
      <c r="C173" s="144">
        <f t="shared" ca="1" si="5"/>
        <v>26.52</v>
      </c>
    </row>
    <row r="174" spans="1:3" ht="13.5" thickBot="1">
      <c r="A174" s="3">
        <v>1023652217</v>
      </c>
      <c r="B174" s="9">
        <f t="shared" ca="1" si="4"/>
        <v>361</v>
      </c>
      <c r="C174" s="144">
        <f t="shared" ca="1" si="5"/>
        <v>46.93</v>
      </c>
    </row>
    <row r="175" spans="1:3" ht="13.5" thickBot="1">
      <c r="A175" s="3">
        <f>A174+13</f>
        <v>1023652230</v>
      </c>
      <c r="B175" s="9">
        <f t="shared" ca="1" si="4"/>
        <v>382</v>
      </c>
      <c r="C175" s="144">
        <f t="shared" ca="1" si="5"/>
        <v>49.660000000000004</v>
      </c>
    </row>
    <row r="176" spans="1:3" ht="13.5" thickBot="1">
      <c r="A176" s="3">
        <v>1023652218</v>
      </c>
      <c r="B176" s="9">
        <f t="shared" ca="1" si="4"/>
        <v>281</v>
      </c>
      <c r="C176" s="144">
        <f t="shared" ca="1" si="5"/>
        <v>36.53</v>
      </c>
    </row>
    <row r="177" spans="1:3" ht="13.5" thickBot="1">
      <c r="A177" s="3">
        <f>A176+13</f>
        <v>1023652231</v>
      </c>
      <c r="B177" s="9">
        <f t="shared" ca="1" si="4"/>
        <v>356</v>
      </c>
      <c r="C177" s="144">
        <f t="shared" ca="1" si="5"/>
        <v>46.28</v>
      </c>
    </row>
    <row r="178" spans="1:3" ht="13.5" thickBot="1">
      <c r="A178" s="3">
        <v>1023652219</v>
      </c>
      <c r="B178" s="9">
        <f t="shared" ca="1" si="4"/>
        <v>231</v>
      </c>
      <c r="C178" s="144">
        <f t="shared" ca="1" si="5"/>
        <v>30.03</v>
      </c>
    </row>
    <row r="179" spans="1:3" ht="13.5" thickBot="1">
      <c r="A179" s="3">
        <f>A178+13</f>
        <v>1023652232</v>
      </c>
      <c r="B179" s="9">
        <f t="shared" ca="1" si="4"/>
        <v>156</v>
      </c>
      <c r="C179" s="144">
        <f t="shared" ca="1" si="5"/>
        <v>20.28</v>
      </c>
    </row>
    <row r="180" spans="1:3" ht="13.5" thickBot="1">
      <c r="A180" s="3">
        <v>1023652220</v>
      </c>
      <c r="B180" s="9">
        <f t="shared" ca="1" si="4"/>
        <v>145</v>
      </c>
      <c r="C180" s="144">
        <f t="shared" ca="1" si="5"/>
        <v>18.850000000000001</v>
      </c>
    </row>
    <row r="181" spans="1:3" ht="13.5" thickBot="1">
      <c r="A181" s="3">
        <f>A180+13</f>
        <v>1023652233</v>
      </c>
      <c r="B181" s="9">
        <f t="shared" ca="1" si="4"/>
        <v>420</v>
      </c>
      <c r="C181" s="144">
        <f t="shared" ca="1" si="5"/>
        <v>54.6</v>
      </c>
    </row>
    <row r="182" spans="1:3" ht="13.5" thickBot="1">
      <c r="A182" s="3">
        <v>1023652221</v>
      </c>
      <c r="B182" s="9">
        <f t="shared" ca="1" si="4"/>
        <v>84</v>
      </c>
      <c r="C182" s="144">
        <f t="shared" ca="1" si="5"/>
        <v>10.92</v>
      </c>
    </row>
    <row r="183" spans="1:3" ht="13.5" thickBot="1">
      <c r="A183" s="3">
        <f>A182+13</f>
        <v>1023652234</v>
      </c>
      <c r="B183" s="9">
        <f t="shared" ca="1" si="4"/>
        <v>287</v>
      </c>
      <c r="C183" s="144">
        <f t="shared" ca="1" si="5"/>
        <v>37.31</v>
      </c>
    </row>
    <row r="184" spans="1:3" ht="13.5" thickBot="1">
      <c r="A184" s="3">
        <v>1023652222</v>
      </c>
      <c r="B184" s="9">
        <f t="shared" ca="1" si="4"/>
        <v>343</v>
      </c>
      <c r="C184" s="144">
        <f t="shared" ca="1" si="5"/>
        <v>44.59</v>
      </c>
    </row>
    <row r="185" spans="1:3" ht="13.5" thickBot="1">
      <c r="A185" s="3">
        <f>A184+13</f>
        <v>1023652235</v>
      </c>
      <c r="B185" s="9">
        <f t="shared" ca="1" si="4"/>
        <v>212</v>
      </c>
      <c r="C185" s="144">
        <f t="shared" ca="1" si="5"/>
        <v>27.560000000000002</v>
      </c>
    </row>
    <row r="186" spans="1:3" ht="13.5" thickBot="1">
      <c r="A186" s="3">
        <v>1023652223</v>
      </c>
      <c r="B186" s="9">
        <f t="shared" ca="1" si="4"/>
        <v>128</v>
      </c>
      <c r="C186" s="144">
        <f t="shared" ca="1" si="5"/>
        <v>16.64</v>
      </c>
    </row>
    <row r="187" spans="1:3" ht="13.5" thickBot="1">
      <c r="A187" s="3">
        <f>A186+13</f>
        <v>1023652236</v>
      </c>
      <c r="B187" s="9">
        <f t="shared" ca="1" si="4"/>
        <v>51</v>
      </c>
      <c r="C187" s="144">
        <f t="shared" ca="1" si="5"/>
        <v>6.63</v>
      </c>
    </row>
    <row r="188" spans="1:3" ht="13.5" thickBot="1">
      <c r="A188" s="3">
        <v>1023652224</v>
      </c>
      <c r="B188" s="9">
        <f t="shared" ca="1" si="4"/>
        <v>340</v>
      </c>
      <c r="C188" s="144">
        <f t="shared" ca="1" si="5"/>
        <v>44.2</v>
      </c>
    </row>
    <row r="189" spans="1:3" ht="13.5" thickBot="1">
      <c r="A189" s="3">
        <f>A188+13</f>
        <v>1023652237</v>
      </c>
      <c r="B189" s="9">
        <f t="shared" ca="1" si="4"/>
        <v>56</v>
      </c>
      <c r="C189" s="144">
        <f t="shared" ca="1" si="5"/>
        <v>7.28</v>
      </c>
    </row>
    <row r="190" spans="1:3" ht="13.5" thickBot="1">
      <c r="A190" s="3">
        <v>1023652225</v>
      </c>
      <c r="B190" s="9">
        <f t="shared" ca="1" si="4"/>
        <v>66</v>
      </c>
      <c r="C190" s="144">
        <f t="shared" ca="1" si="5"/>
        <v>8.58</v>
      </c>
    </row>
    <row r="191" spans="1:3" ht="13.5" thickBot="1">
      <c r="A191" s="3">
        <f>A190+13</f>
        <v>1023652238</v>
      </c>
      <c r="B191" s="9">
        <f t="shared" ca="1" si="4"/>
        <v>140</v>
      </c>
      <c r="C191" s="144">
        <f t="shared" ca="1" si="5"/>
        <v>18.2</v>
      </c>
    </row>
    <row r="192" spans="1:3" ht="13.5" thickBot="1">
      <c r="A192" s="3">
        <v>1023652226</v>
      </c>
      <c r="B192" s="9">
        <f t="shared" ca="1" si="4"/>
        <v>291</v>
      </c>
      <c r="C192" s="144">
        <f t="shared" ca="1" si="5"/>
        <v>37.83</v>
      </c>
    </row>
    <row r="193" spans="1:3" ht="13.5" thickBot="1">
      <c r="A193" s="3">
        <f>A192+13</f>
        <v>1023652239</v>
      </c>
      <c r="B193" s="9">
        <f t="shared" ca="1" si="4"/>
        <v>206</v>
      </c>
      <c r="C193" s="144">
        <f t="shared" ca="1" si="5"/>
        <v>26.78</v>
      </c>
    </row>
    <row r="194" spans="1:3" ht="13.5" thickBot="1">
      <c r="A194" s="3">
        <v>1023652227</v>
      </c>
      <c r="B194" s="9">
        <f t="shared" ca="1" si="4"/>
        <v>404</v>
      </c>
      <c r="C194" s="144">
        <f t="shared" ca="1" si="5"/>
        <v>52.52</v>
      </c>
    </row>
    <row r="195" spans="1:3" ht="13.5" thickBot="1">
      <c r="A195" s="3">
        <f>A194+13</f>
        <v>1023652240</v>
      </c>
      <c r="B195" s="9">
        <f t="shared" ca="1" si="4"/>
        <v>395</v>
      </c>
      <c r="C195" s="144">
        <f t="shared" ca="1" si="5"/>
        <v>51.35</v>
      </c>
    </row>
    <row r="196" spans="1:3" ht="13.5" thickBot="1">
      <c r="A196" s="3">
        <v>1023652228</v>
      </c>
      <c r="B196" s="9">
        <f t="shared" ca="1" si="4"/>
        <v>288</v>
      </c>
      <c r="C196" s="144">
        <f t="shared" ca="1" si="5"/>
        <v>37.44</v>
      </c>
    </row>
    <row r="197" spans="1:3" ht="13.5" thickBot="1">
      <c r="A197" s="3">
        <f>A196+13</f>
        <v>1023652241</v>
      </c>
      <c r="B197" s="9">
        <f t="shared" ca="1" si="4"/>
        <v>285</v>
      </c>
      <c r="C197" s="144">
        <f t="shared" ca="1" si="5"/>
        <v>37.050000000000004</v>
      </c>
    </row>
    <row r="198" spans="1:3" ht="13.5" thickBot="1">
      <c r="A198" s="3">
        <v>1023652229</v>
      </c>
      <c r="B198" s="9">
        <f t="shared" ca="1" si="4"/>
        <v>367</v>
      </c>
      <c r="C198" s="144">
        <f t="shared" ca="1" si="5"/>
        <v>47.71</v>
      </c>
    </row>
    <row r="199" spans="1:3" ht="13.5" thickBot="1">
      <c r="A199" s="3">
        <f>A198+13</f>
        <v>1023652242</v>
      </c>
      <c r="B199" s="9">
        <f t="shared" ca="1" si="4"/>
        <v>47</v>
      </c>
      <c r="C199" s="144">
        <f t="shared" ca="1" si="5"/>
        <v>6.11</v>
      </c>
    </row>
    <row r="200" spans="1:3">
      <c r="A200" s="3">
        <v>1023652230</v>
      </c>
      <c r="B200" s="9">
        <f t="shared" ca="1" si="4"/>
        <v>222</v>
      </c>
      <c r="C200" s="144">
        <f t="shared" ca="1" si="5"/>
        <v>28.86</v>
      </c>
    </row>
  </sheetData>
  <customSheetViews>
    <customSheetView guid="{3DF5E802-5CA5-43EF-BE6A-D6FCDA5F65F2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opLeftCell="A155" workbookViewId="0">
      <selection activeCell="G200" sqref="G200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1" t="s">
        <v>187</v>
      </c>
      <c r="B1" s="131"/>
    </row>
    <row r="2" spans="1:3" ht="18">
      <c r="A2" s="132">
        <f ca="1">ROUND(RAND()*19+11,0)</f>
        <v>24</v>
      </c>
      <c r="B2" s="132"/>
    </row>
    <row r="3" spans="1:3">
      <c r="A3" s="5"/>
      <c r="B3" s="6"/>
    </row>
    <row r="4" spans="1:3">
      <c r="A4" s="5"/>
      <c r="B4" s="6"/>
    </row>
    <row r="5" spans="1:3">
      <c r="A5" s="5"/>
      <c r="B5" s="6"/>
    </row>
    <row r="9" spans="1:3" ht="13.5" thickBot="1">
      <c r="A9" s="92" t="s">
        <v>189</v>
      </c>
      <c r="B9" s="92" t="s">
        <v>188</v>
      </c>
      <c r="C9" s="4" t="s">
        <v>11</v>
      </c>
    </row>
    <row r="10" spans="1:3" ht="13.5" thickBot="1">
      <c r="A10" s="3">
        <v>1023652135</v>
      </c>
      <c r="B10" s="9">
        <f ca="1">ROUND(RAND()*6,0)</f>
        <v>3</v>
      </c>
      <c r="C10" s="145">
        <f ca="1">B10*$A$2</f>
        <v>72</v>
      </c>
    </row>
    <row r="11" spans="1:3" ht="13.5" thickBot="1">
      <c r="A11" s="3">
        <f>A10+13</f>
        <v>1023652148</v>
      </c>
      <c r="B11" s="9">
        <f t="shared" ref="B11:B74" ca="1" si="0">ROUND(RAND()*6,0)</f>
        <v>2</v>
      </c>
      <c r="C11" s="145">
        <f t="shared" ref="C11:C74" ca="1" si="1">B11*$A$2</f>
        <v>48</v>
      </c>
    </row>
    <row r="12" spans="1:3" ht="13.5" thickBot="1">
      <c r="A12" s="3">
        <v>1023652136</v>
      </c>
      <c r="B12" s="9">
        <f t="shared" ca="1" si="0"/>
        <v>4</v>
      </c>
      <c r="C12" s="145">
        <f t="shared" ca="1" si="1"/>
        <v>96</v>
      </c>
    </row>
    <row r="13" spans="1:3" ht="13.5" thickBot="1">
      <c r="A13" s="3">
        <f>A12+13</f>
        <v>1023652149</v>
      </c>
      <c r="B13" s="9">
        <f t="shared" ca="1" si="0"/>
        <v>3</v>
      </c>
      <c r="C13" s="145">
        <f t="shared" ca="1" si="1"/>
        <v>72</v>
      </c>
    </row>
    <row r="14" spans="1:3" ht="13.5" thickBot="1">
      <c r="A14" s="3">
        <v>1023652137</v>
      </c>
      <c r="B14" s="9">
        <f t="shared" ca="1" si="0"/>
        <v>4</v>
      </c>
      <c r="C14" s="145">
        <f t="shared" ca="1" si="1"/>
        <v>96</v>
      </c>
    </row>
    <row r="15" spans="1:3" ht="13.5" thickBot="1">
      <c r="A15" s="3">
        <f>A14+13</f>
        <v>1023652150</v>
      </c>
      <c r="B15" s="9">
        <f t="shared" ca="1" si="0"/>
        <v>3</v>
      </c>
      <c r="C15" s="145">
        <f t="shared" ca="1" si="1"/>
        <v>72</v>
      </c>
    </row>
    <row r="16" spans="1:3" ht="13.5" thickBot="1">
      <c r="A16" s="3">
        <v>1023652138</v>
      </c>
      <c r="B16" s="9">
        <f t="shared" ca="1" si="0"/>
        <v>1</v>
      </c>
      <c r="C16" s="145">
        <f t="shared" ca="1" si="1"/>
        <v>24</v>
      </c>
    </row>
    <row r="17" spans="1:3" ht="13.5" thickBot="1">
      <c r="A17" s="3">
        <f>A16+13</f>
        <v>1023652151</v>
      </c>
      <c r="B17" s="9">
        <f t="shared" ca="1" si="0"/>
        <v>4</v>
      </c>
      <c r="C17" s="145">
        <f t="shared" ca="1" si="1"/>
        <v>96</v>
      </c>
    </row>
    <row r="18" spans="1:3" ht="13.5" thickBot="1">
      <c r="A18" s="3">
        <v>1023652139</v>
      </c>
      <c r="B18" s="9">
        <f t="shared" ca="1" si="0"/>
        <v>5</v>
      </c>
      <c r="C18" s="145">
        <f t="shared" ca="1" si="1"/>
        <v>120</v>
      </c>
    </row>
    <row r="19" spans="1:3" ht="13.5" thickBot="1">
      <c r="A19" s="3">
        <f>A18+13</f>
        <v>1023652152</v>
      </c>
      <c r="B19" s="9">
        <f t="shared" ca="1" si="0"/>
        <v>3</v>
      </c>
      <c r="C19" s="145">
        <f t="shared" ca="1" si="1"/>
        <v>72</v>
      </c>
    </row>
    <row r="20" spans="1:3" ht="13.5" thickBot="1">
      <c r="A20" s="3">
        <v>1023652140</v>
      </c>
      <c r="B20" s="9">
        <f t="shared" ca="1" si="0"/>
        <v>6</v>
      </c>
      <c r="C20" s="145">
        <f t="shared" ca="1" si="1"/>
        <v>144</v>
      </c>
    </row>
    <row r="21" spans="1:3" ht="13.5" thickBot="1">
      <c r="A21" s="3">
        <f>A20+13</f>
        <v>1023652153</v>
      </c>
      <c r="B21" s="9">
        <f t="shared" ca="1" si="0"/>
        <v>3</v>
      </c>
      <c r="C21" s="145">
        <f t="shared" ca="1" si="1"/>
        <v>72</v>
      </c>
    </row>
    <row r="22" spans="1:3" ht="13.5" thickBot="1">
      <c r="A22" s="3">
        <v>1023652141</v>
      </c>
      <c r="B22" s="9">
        <f t="shared" ca="1" si="0"/>
        <v>1</v>
      </c>
      <c r="C22" s="145">
        <f t="shared" ca="1" si="1"/>
        <v>24</v>
      </c>
    </row>
    <row r="23" spans="1:3" ht="13.5" thickBot="1">
      <c r="A23" s="3">
        <f>A22+13</f>
        <v>1023652154</v>
      </c>
      <c r="B23" s="9">
        <f t="shared" ca="1" si="0"/>
        <v>0</v>
      </c>
      <c r="C23" s="145">
        <f t="shared" ca="1" si="1"/>
        <v>0</v>
      </c>
    </row>
    <row r="24" spans="1:3" ht="13.5" thickBot="1">
      <c r="A24" s="3">
        <v>1023652142</v>
      </c>
      <c r="B24" s="9">
        <f t="shared" ca="1" si="0"/>
        <v>4</v>
      </c>
      <c r="C24" s="145">
        <f t="shared" ca="1" si="1"/>
        <v>96</v>
      </c>
    </row>
    <row r="25" spans="1:3" ht="13.5" thickBot="1">
      <c r="A25" s="3">
        <f>A24+13</f>
        <v>1023652155</v>
      </c>
      <c r="B25" s="9">
        <f t="shared" ca="1" si="0"/>
        <v>3</v>
      </c>
      <c r="C25" s="145">
        <f t="shared" ca="1" si="1"/>
        <v>72</v>
      </c>
    </row>
    <row r="26" spans="1:3" ht="13.5" thickBot="1">
      <c r="A26" s="3">
        <v>1023652143</v>
      </c>
      <c r="B26" s="9">
        <f t="shared" ca="1" si="0"/>
        <v>3</v>
      </c>
      <c r="C26" s="145">
        <f t="shared" ca="1" si="1"/>
        <v>72</v>
      </c>
    </row>
    <row r="27" spans="1:3" ht="13.5" thickBot="1">
      <c r="A27" s="3">
        <f>A26+13</f>
        <v>1023652156</v>
      </c>
      <c r="B27" s="9">
        <f t="shared" ca="1" si="0"/>
        <v>5</v>
      </c>
      <c r="C27" s="145">
        <f t="shared" ca="1" si="1"/>
        <v>120</v>
      </c>
    </row>
    <row r="28" spans="1:3" ht="13.5" thickBot="1">
      <c r="A28" s="3">
        <v>1023652144</v>
      </c>
      <c r="B28" s="9">
        <f t="shared" ca="1" si="0"/>
        <v>3</v>
      </c>
      <c r="C28" s="145">
        <f t="shared" ca="1" si="1"/>
        <v>72</v>
      </c>
    </row>
    <row r="29" spans="1:3" ht="13.5" thickBot="1">
      <c r="A29" s="3">
        <f>A28+13</f>
        <v>1023652157</v>
      </c>
      <c r="B29" s="9">
        <f t="shared" ca="1" si="0"/>
        <v>6</v>
      </c>
      <c r="C29" s="145">
        <f t="shared" ca="1" si="1"/>
        <v>144</v>
      </c>
    </row>
    <row r="30" spans="1:3" ht="13.5" thickBot="1">
      <c r="A30" s="3">
        <v>1023652145</v>
      </c>
      <c r="B30" s="9">
        <f t="shared" ca="1" si="0"/>
        <v>1</v>
      </c>
      <c r="C30" s="145">
        <f t="shared" ca="1" si="1"/>
        <v>24</v>
      </c>
    </row>
    <row r="31" spans="1:3" ht="13.5" thickBot="1">
      <c r="A31" s="3">
        <f>A30+13</f>
        <v>1023652158</v>
      </c>
      <c r="B31" s="9">
        <f t="shared" ca="1" si="0"/>
        <v>4</v>
      </c>
      <c r="C31" s="145">
        <f t="shared" ca="1" si="1"/>
        <v>96</v>
      </c>
    </row>
    <row r="32" spans="1:3" ht="13.5" thickBot="1">
      <c r="A32" s="3">
        <v>1023652146</v>
      </c>
      <c r="B32" s="9">
        <f t="shared" ca="1" si="0"/>
        <v>4</v>
      </c>
      <c r="C32" s="145">
        <f t="shared" ca="1" si="1"/>
        <v>96</v>
      </c>
    </row>
    <row r="33" spans="1:3" ht="13.5" thickBot="1">
      <c r="A33" s="3">
        <f>A32+13</f>
        <v>1023652159</v>
      </c>
      <c r="B33" s="9">
        <f t="shared" ca="1" si="0"/>
        <v>0</v>
      </c>
      <c r="C33" s="145">
        <f t="shared" ca="1" si="1"/>
        <v>0</v>
      </c>
    </row>
    <row r="34" spans="1:3" ht="13.5" thickBot="1">
      <c r="A34" s="3">
        <v>1023652147</v>
      </c>
      <c r="B34" s="9">
        <f t="shared" ca="1" si="0"/>
        <v>3</v>
      </c>
      <c r="C34" s="145">
        <f t="shared" ca="1" si="1"/>
        <v>72</v>
      </c>
    </row>
    <row r="35" spans="1:3" ht="13.5" thickBot="1">
      <c r="A35" s="3">
        <f>A34+13</f>
        <v>1023652160</v>
      </c>
      <c r="B35" s="9">
        <f t="shared" ca="1" si="0"/>
        <v>1</v>
      </c>
      <c r="C35" s="145">
        <f t="shared" ca="1" si="1"/>
        <v>24</v>
      </c>
    </row>
    <row r="36" spans="1:3" ht="13.5" thickBot="1">
      <c r="A36" s="3">
        <v>1023652148</v>
      </c>
      <c r="B36" s="9">
        <f t="shared" ca="1" si="0"/>
        <v>2</v>
      </c>
      <c r="C36" s="145">
        <f t="shared" ca="1" si="1"/>
        <v>48</v>
      </c>
    </row>
    <row r="37" spans="1:3" ht="13.5" thickBot="1">
      <c r="A37" s="3">
        <f>A36+13</f>
        <v>1023652161</v>
      </c>
      <c r="B37" s="9">
        <f t="shared" ca="1" si="0"/>
        <v>1</v>
      </c>
      <c r="C37" s="145">
        <f t="shared" ca="1" si="1"/>
        <v>24</v>
      </c>
    </row>
    <row r="38" spans="1:3" ht="13.5" thickBot="1">
      <c r="A38" s="3">
        <v>1023652149</v>
      </c>
      <c r="B38" s="9">
        <f t="shared" ca="1" si="0"/>
        <v>1</v>
      </c>
      <c r="C38" s="145">
        <f t="shared" ca="1" si="1"/>
        <v>24</v>
      </c>
    </row>
    <row r="39" spans="1:3" ht="13.5" thickBot="1">
      <c r="A39" s="3">
        <f>A38+13</f>
        <v>1023652162</v>
      </c>
      <c r="B39" s="9">
        <f t="shared" ca="1" si="0"/>
        <v>5</v>
      </c>
      <c r="C39" s="145">
        <f t="shared" ca="1" si="1"/>
        <v>120</v>
      </c>
    </row>
    <row r="40" spans="1:3" ht="13.5" thickBot="1">
      <c r="A40" s="3">
        <v>1023652150</v>
      </c>
      <c r="B40" s="9">
        <f t="shared" ca="1" si="0"/>
        <v>6</v>
      </c>
      <c r="C40" s="145">
        <f t="shared" ca="1" si="1"/>
        <v>144</v>
      </c>
    </row>
    <row r="41" spans="1:3" ht="13.5" thickBot="1">
      <c r="A41" s="3">
        <f>A40+13</f>
        <v>1023652163</v>
      </c>
      <c r="B41" s="9">
        <f t="shared" ca="1" si="0"/>
        <v>2</v>
      </c>
      <c r="C41" s="145">
        <f t="shared" ca="1" si="1"/>
        <v>48</v>
      </c>
    </row>
    <row r="42" spans="1:3" ht="13.5" thickBot="1">
      <c r="A42" s="3">
        <v>1023652151</v>
      </c>
      <c r="B42" s="9">
        <f t="shared" ca="1" si="0"/>
        <v>3</v>
      </c>
      <c r="C42" s="145">
        <f t="shared" ca="1" si="1"/>
        <v>72</v>
      </c>
    </row>
    <row r="43" spans="1:3" ht="13.5" thickBot="1">
      <c r="A43" s="3">
        <f>A42+13</f>
        <v>1023652164</v>
      </c>
      <c r="B43" s="9">
        <f t="shared" ca="1" si="0"/>
        <v>5</v>
      </c>
      <c r="C43" s="145">
        <f t="shared" ca="1" si="1"/>
        <v>120</v>
      </c>
    </row>
    <row r="44" spans="1:3" ht="13.5" thickBot="1">
      <c r="A44" s="3">
        <v>1023652152</v>
      </c>
      <c r="B44" s="9">
        <f t="shared" ca="1" si="0"/>
        <v>3</v>
      </c>
      <c r="C44" s="145">
        <f t="shared" ca="1" si="1"/>
        <v>72</v>
      </c>
    </row>
    <row r="45" spans="1:3" ht="13.5" thickBot="1">
      <c r="A45" s="3">
        <f>A44+13</f>
        <v>1023652165</v>
      </c>
      <c r="B45" s="9">
        <f t="shared" ca="1" si="0"/>
        <v>1</v>
      </c>
      <c r="C45" s="145">
        <f t="shared" ca="1" si="1"/>
        <v>24</v>
      </c>
    </row>
    <row r="46" spans="1:3" ht="13.5" thickBot="1">
      <c r="A46" s="3">
        <v>1023652153</v>
      </c>
      <c r="B46" s="9">
        <f t="shared" ca="1" si="0"/>
        <v>0</v>
      </c>
      <c r="C46" s="145">
        <f t="shared" ca="1" si="1"/>
        <v>0</v>
      </c>
    </row>
    <row r="47" spans="1:3" ht="13.5" thickBot="1">
      <c r="A47" s="3">
        <f>A46+13</f>
        <v>1023652166</v>
      </c>
      <c r="B47" s="9">
        <f t="shared" ca="1" si="0"/>
        <v>1</v>
      </c>
      <c r="C47" s="145">
        <f t="shared" ca="1" si="1"/>
        <v>24</v>
      </c>
    </row>
    <row r="48" spans="1:3" ht="13.5" thickBot="1">
      <c r="A48" s="3">
        <v>1023652154</v>
      </c>
      <c r="B48" s="9">
        <f t="shared" ca="1" si="0"/>
        <v>1</v>
      </c>
      <c r="C48" s="145">
        <f t="shared" ca="1" si="1"/>
        <v>24</v>
      </c>
    </row>
    <row r="49" spans="1:3" ht="13.5" thickBot="1">
      <c r="A49" s="3">
        <f>A48+13</f>
        <v>1023652167</v>
      </c>
      <c r="B49" s="9">
        <f t="shared" ca="1" si="0"/>
        <v>3</v>
      </c>
      <c r="C49" s="145">
        <f t="shared" ca="1" si="1"/>
        <v>72</v>
      </c>
    </row>
    <row r="50" spans="1:3" ht="13.5" thickBot="1">
      <c r="A50" s="3">
        <v>1023652155</v>
      </c>
      <c r="B50" s="9">
        <f t="shared" ca="1" si="0"/>
        <v>6</v>
      </c>
      <c r="C50" s="145">
        <f t="shared" ca="1" si="1"/>
        <v>144</v>
      </c>
    </row>
    <row r="51" spans="1:3" ht="13.5" thickBot="1">
      <c r="A51" s="3">
        <f>A50+13</f>
        <v>1023652168</v>
      </c>
      <c r="B51" s="9">
        <f t="shared" ca="1" si="0"/>
        <v>1</v>
      </c>
      <c r="C51" s="145">
        <f t="shared" ca="1" si="1"/>
        <v>24</v>
      </c>
    </row>
    <row r="52" spans="1:3" ht="13.5" thickBot="1">
      <c r="A52" s="3">
        <v>1023652156</v>
      </c>
      <c r="B52" s="9">
        <f t="shared" ca="1" si="0"/>
        <v>0</v>
      </c>
      <c r="C52" s="145">
        <f t="shared" ca="1" si="1"/>
        <v>0</v>
      </c>
    </row>
    <row r="53" spans="1:3" ht="13.5" thickBot="1">
      <c r="A53" s="3">
        <f>A52+13</f>
        <v>1023652169</v>
      </c>
      <c r="B53" s="9">
        <f t="shared" ca="1" si="0"/>
        <v>1</v>
      </c>
      <c r="C53" s="145">
        <f t="shared" ca="1" si="1"/>
        <v>24</v>
      </c>
    </row>
    <row r="54" spans="1:3" ht="13.5" thickBot="1">
      <c r="A54" s="3">
        <v>1023652157</v>
      </c>
      <c r="B54" s="9">
        <f t="shared" ca="1" si="0"/>
        <v>5</v>
      </c>
      <c r="C54" s="145">
        <f t="shared" ca="1" si="1"/>
        <v>120</v>
      </c>
    </row>
    <row r="55" spans="1:3" ht="13.5" thickBot="1">
      <c r="A55" s="3">
        <f>A54+13</f>
        <v>1023652170</v>
      </c>
      <c r="B55" s="9">
        <f t="shared" ca="1" si="0"/>
        <v>1</v>
      </c>
      <c r="C55" s="145">
        <f t="shared" ca="1" si="1"/>
        <v>24</v>
      </c>
    </row>
    <row r="56" spans="1:3" ht="13.5" thickBot="1">
      <c r="A56" s="3">
        <v>1023652158</v>
      </c>
      <c r="B56" s="9">
        <f t="shared" ca="1" si="0"/>
        <v>3</v>
      </c>
      <c r="C56" s="145">
        <f t="shared" ca="1" si="1"/>
        <v>72</v>
      </c>
    </row>
    <row r="57" spans="1:3" ht="13.5" thickBot="1">
      <c r="A57" s="3">
        <f>A56+13</f>
        <v>1023652171</v>
      </c>
      <c r="B57" s="9">
        <f t="shared" ca="1" si="0"/>
        <v>3</v>
      </c>
      <c r="C57" s="145">
        <f t="shared" ca="1" si="1"/>
        <v>72</v>
      </c>
    </row>
    <row r="58" spans="1:3" ht="13.5" thickBot="1">
      <c r="A58" s="3">
        <v>1023652159</v>
      </c>
      <c r="B58" s="9">
        <f t="shared" ca="1" si="0"/>
        <v>1</v>
      </c>
      <c r="C58" s="145">
        <f t="shared" ca="1" si="1"/>
        <v>24</v>
      </c>
    </row>
    <row r="59" spans="1:3" ht="13.5" thickBot="1">
      <c r="A59" s="3">
        <f>A58+13</f>
        <v>1023652172</v>
      </c>
      <c r="B59" s="9">
        <f t="shared" ca="1" si="0"/>
        <v>4</v>
      </c>
      <c r="C59" s="145">
        <f t="shared" ca="1" si="1"/>
        <v>96</v>
      </c>
    </row>
    <row r="60" spans="1:3" ht="13.5" thickBot="1">
      <c r="A60" s="3">
        <v>1023652160</v>
      </c>
      <c r="B60" s="9">
        <f t="shared" ca="1" si="0"/>
        <v>2</v>
      </c>
      <c r="C60" s="145">
        <f t="shared" ca="1" si="1"/>
        <v>48</v>
      </c>
    </row>
    <row r="61" spans="1:3" ht="13.5" thickBot="1">
      <c r="A61" s="3">
        <f>A60+13</f>
        <v>1023652173</v>
      </c>
      <c r="B61" s="9">
        <f t="shared" ca="1" si="0"/>
        <v>4</v>
      </c>
      <c r="C61" s="145">
        <f t="shared" ca="1" si="1"/>
        <v>96</v>
      </c>
    </row>
    <row r="62" spans="1:3" ht="13.5" thickBot="1">
      <c r="A62" s="3">
        <v>1023652161</v>
      </c>
      <c r="B62" s="9">
        <f t="shared" ca="1" si="0"/>
        <v>2</v>
      </c>
      <c r="C62" s="145">
        <f t="shared" ca="1" si="1"/>
        <v>48</v>
      </c>
    </row>
    <row r="63" spans="1:3" ht="13.5" thickBot="1">
      <c r="A63" s="3">
        <f>A62+13</f>
        <v>1023652174</v>
      </c>
      <c r="B63" s="9">
        <f t="shared" ca="1" si="0"/>
        <v>2</v>
      </c>
      <c r="C63" s="145">
        <f t="shared" ca="1" si="1"/>
        <v>48</v>
      </c>
    </row>
    <row r="64" spans="1:3" ht="13.5" thickBot="1">
      <c r="A64" s="3">
        <v>1023652162</v>
      </c>
      <c r="B64" s="9">
        <f t="shared" ca="1" si="0"/>
        <v>3</v>
      </c>
      <c r="C64" s="145">
        <f t="shared" ca="1" si="1"/>
        <v>72</v>
      </c>
    </row>
    <row r="65" spans="1:3" ht="13.5" thickBot="1">
      <c r="A65" s="3">
        <f>A64+13</f>
        <v>1023652175</v>
      </c>
      <c r="B65" s="9">
        <f t="shared" ca="1" si="0"/>
        <v>3</v>
      </c>
      <c r="C65" s="145">
        <f t="shared" ca="1" si="1"/>
        <v>72</v>
      </c>
    </row>
    <row r="66" spans="1:3" ht="13.5" thickBot="1">
      <c r="A66" s="3">
        <v>1023652163</v>
      </c>
      <c r="B66" s="9">
        <f t="shared" ca="1" si="0"/>
        <v>1</v>
      </c>
      <c r="C66" s="145">
        <f t="shared" ca="1" si="1"/>
        <v>24</v>
      </c>
    </row>
    <row r="67" spans="1:3" ht="13.5" thickBot="1">
      <c r="A67" s="3">
        <f>A66+13</f>
        <v>1023652176</v>
      </c>
      <c r="B67" s="9">
        <f t="shared" ca="1" si="0"/>
        <v>2</v>
      </c>
      <c r="C67" s="145">
        <f t="shared" ca="1" si="1"/>
        <v>48</v>
      </c>
    </row>
    <row r="68" spans="1:3" ht="13.5" thickBot="1">
      <c r="A68" s="3">
        <v>1023652164</v>
      </c>
      <c r="B68" s="9">
        <f t="shared" ca="1" si="0"/>
        <v>4</v>
      </c>
      <c r="C68" s="145">
        <f t="shared" ca="1" si="1"/>
        <v>96</v>
      </c>
    </row>
    <row r="69" spans="1:3" ht="13.5" thickBot="1">
      <c r="A69" s="3">
        <f>A68+13</f>
        <v>1023652177</v>
      </c>
      <c r="B69" s="9">
        <f t="shared" ca="1" si="0"/>
        <v>1</v>
      </c>
      <c r="C69" s="145">
        <f t="shared" ca="1" si="1"/>
        <v>24</v>
      </c>
    </row>
    <row r="70" spans="1:3" ht="13.5" thickBot="1">
      <c r="A70" s="3">
        <v>1023652165</v>
      </c>
      <c r="B70" s="9">
        <f t="shared" ca="1" si="0"/>
        <v>5</v>
      </c>
      <c r="C70" s="145">
        <f t="shared" ca="1" si="1"/>
        <v>120</v>
      </c>
    </row>
    <row r="71" spans="1:3" ht="13.5" thickBot="1">
      <c r="A71" s="3">
        <f>A70+13</f>
        <v>1023652178</v>
      </c>
      <c r="B71" s="9">
        <f t="shared" ca="1" si="0"/>
        <v>2</v>
      </c>
      <c r="C71" s="145">
        <f t="shared" ca="1" si="1"/>
        <v>48</v>
      </c>
    </row>
    <row r="72" spans="1:3" ht="13.5" thickBot="1">
      <c r="A72" s="3">
        <v>1023652166</v>
      </c>
      <c r="B72" s="9">
        <f t="shared" ca="1" si="0"/>
        <v>5</v>
      </c>
      <c r="C72" s="145">
        <f t="shared" ca="1" si="1"/>
        <v>120</v>
      </c>
    </row>
    <row r="73" spans="1:3" ht="13.5" thickBot="1">
      <c r="A73" s="3">
        <f>A72+13</f>
        <v>1023652179</v>
      </c>
      <c r="B73" s="9">
        <f t="shared" ca="1" si="0"/>
        <v>2</v>
      </c>
      <c r="C73" s="145">
        <f t="shared" ca="1" si="1"/>
        <v>48</v>
      </c>
    </row>
    <row r="74" spans="1:3" ht="13.5" thickBot="1">
      <c r="A74" s="3">
        <v>1023652167</v>
      </c>
      <c r="B74" s="9">
        <f t="shared" ca="1" si="0"/>
        <v>6</v>
      </c>
      <c r="C74" s="145">
        <f t="shared" ca="1" si="1"/>
        <v>144</v>
      </c>
    </row>
    <row r="75" spans="1:3" ht="13.5" thickBot="1">
      <c r="A75" s="3">
        <f>A74+13</f>
        <v>1023652180</v>
      </c>
      <c r="B75" s="9">
        <f t="shared" ref="B75:B138" ca="1" si="2">ROUND(RAND()*6,0)</f>
        <v>2</v>
      </c>
      <c r="C75" s="145">
        <f t="shared" ref="C75:C138" ca="1" si="3">B75*$A$2</f>
        <v>48</v>
      </c>
    </row>
    <row r="76" spans="1:3" ht="13.5" thickBot="1">
      <c r="A76" s="3">
        <v>1023652168</v>
      </c>
      <c r="B76" s="9">
        <f t="shared" ca="1" si="2"/>
        <v>3</v>
      </c>
      <c r="C76" s="145">
        <f t="shared" ca="1" si="3"/>
        <v>72</v>
      </c>
    </row>
    <row r="77" spans="1:3" ht="13.5" thickBot="1">
      <c r="A77" s="3">
        <f>A76+13</f>
        <v>1023652181</v>
      </c>
      <c r="B77" s="9">
        <f t="shared" ca="1" si="2"/>
        <v>3</v>
      </c>
      <c r="C77" s="145">
        <f t="shared" ca="1" si="3"/>
        <v>72</v>
      </c>
    </row>
    <row r="78" spans="1:3" ht="13.5" thickBot="1">
      <c r="A78" s="3">
        <v>1023652169</v>
      </c>
      <c r="B78" s="9">
        <f t="shared" ca="1" si="2"/>
        <v>2</v>
      </c>
      <c r="C78" s="145">
        <f t="shared" ca="1" si="3"/>
        <v>48</v>
      </c>
    </row>
    <row r="79" spans="1:3" ht="13.5" thickBot="1">
      <c r="A79" s="3">
        <f>A78+13</f>
        <v>1023652182</v>
      </c>
      <c r="B79" s="9">
        <f t="shared" ca="1" si="2"/>
        <v>4</v>
      </c>
      <c r="C79" s="145">
        <f t="shared" ca="1" si="3"/>
        <v>96</v>
      </c>
    </row>
    <row r="80" spans="1:3" ht="13.5" thickBot="1">
      <c r="A80" s="3">
        <v>1023652170</v>
      </c>
      <c r="B80" s="9">
        <f t="shared" ca="1" si="2"/>
        <v>6</v>
      </c>
      <c r="C80" s="145">
        <f t="shared" ca="1" si="3"/>
        <v>144</v>
      </c>
    </row>
    <row r="81" spans="1:3" ht="13.5" thickBot="1">
      <c r="A81" s="3">
        <f>A80+13</f>
        <v>1023652183</v>
      </c>
      <c r="B81" s="9">
        <f t="shared" ca="1" si="2"/>
        <v>4</v>
      </c>
      <c r="C81" s="145">
        <f t="shared" ca="1" si="3"/>
        <v>96</v>
      </c>
    </row>
    <row r="82" spans="1:3" ht="13.5" thickBot="1">
      <c r="A82" s="3">
        <v>1023652171</v>
      </c>
      <c r="B82" s="9">
        <f t="shared" ca="1" si="2"/>
        <v>4</v>
      </c>
      <c r="C82" s="145">
        <f t="shared" ca="1" si="3"/>
        <v>96</v>
      </c>
    </row>
    <row r="83" spans="1:3" ht="13.5" thickBot="1">
      <c r="A83" s="3">
        <f>A82+13</f>
        <v>1023652184</v>
      </c>
      <c r="B83" s="9">
        <f t="shared" ca="1" si="2"/>
        <v>5</v>
      </c>
      <c r="C83" s="145">
        <f t="shared" ca="1" si="3"/>
        <v>120</v>
      </c>
    </row>
    <row r="84" spans="1:3" ht="13.5" thickBot="1">
      <c r="A84" s="3">
        <v>1023652172</v>
      </c>
      <c r="B84" s="9">
        <f t="shared" ca="1" si="2"/>
        <v>3</v>
      </c>
      <c r="C84" s="145">
        <f t="shared" ca="1" si="3"/>
        <v>72</v>
      </c>
    </row>
    <row r="85" spans="1:3" ht="13.5" thickBot="1">
      <c r="A85" s="3">
        <f>A84+13</f>
        <v>1023652185</v>
      </c>
      <c r="B85" s="9">
        <f t="shared" ca="1" si="2"/>
        <v>3</v>
      </c>
      <c r="C85" s="145">
        <f t="shared" ca="1" si="3"/>
        <v>72</v>
      </c>
    </row>
    <row r="86" spans="1:3" ht="13.5" thickBot="1">
      <c r="A86" s="3">
        <v>1023652173</v>
      </c>
      <c r="B86" s="9">
        <f t="shared" ca="1" si="2"/>
        <v>2</v>
      </c>
      <c r="C86" s="145">
        <f t="shared" ca="1" si="3"/>
        <v>48</v>
      </c>
    </row>
    <row r="87" spans="1:3" ht="13.5" thickBot="1">
      <c r="A87" s="3">
        <f>A86+13</f>
        <v>1023652186</v>
      </c>
      <c r="B87" s="9">
        <f t="shared" ca="1" si="2"/>
        <v>6</v>
      </c>
      <c r="C87" s="145">
        <f t="shared" ca="1" si="3"/>
        <v>144</v>
      </c>
    </row>
    <row r="88" spans="1:3" ht="13.5" thickBot="1">
      <c r="A88" s="3">
        <v>1023652174</v>
      </c>
      <c r="B88" s="9">
        <f t="shared" ca="1" si="2"/>
        <v>2</v>
      </c>
      <c r="C88" s="145">
        <f t="shared" ca="1" si="3"/>
        <v>48</v>
      </c>
    </row>
    <row r="89" spans="1:3" ht="13.5" thickBot="1">
      <c r="A89" s="3">
        <f>A88+13</f>
        <v>1023652187</v>
      </c>
      <c r="B89" s="9">
        <f t="shared" ca="1" si="2"/>
        <v>5</v>
      </c>
      <c r="C89" s="145">
        <f t="shared" ca="1" si="3"/>
        <v>120</v>
      </c>
    </row>
    <row r="90" spans="1:3" ht="13.5" thickBot="1">
      <c r="A90" s="3">
        <v>1023652175</v>
      </c>
      <c r="B90" s="9">
        <f t="shared" ca="1" si="2"/>
        <v>0</v>
      </c>
      <c r="C90" s="145">
        <f t="shared" ca="1" si="3"/>
        <v>0</v>
      </c>
    </row>
    <row r="91" spans="1:3" ht="13.5" thickBot="1">
      <c r="A91" s="3">
        <f>A90+13</f>
        <v>1023652188</v>
      </c>
      <c r="B91" s="9">
        <f t="shared" ca="1" si="2"/>
        <v>5</v>
      </c>
      <c r="C91" s="145">
        <f t="shared" ca="1" si="3"/>
        <v>120</v>
      </c>
    </row>
    <row r="92" spans="1:3" ht="13.5" thickBot="1">
      <c r="A92" s="3">
        <v>1023652176</v>
      </c>
      <c r="B92" s="9">
        <f t="shared" ca="1" si="2"/>
        <v>3</v>
      </c>
      <c r="C92" s="145">
        <f t="shared" ca="1" si="3"/>
        <v>72</v>
      </c>
    </row>
    <row r="93" spans="1:3" ht="13.5" thickBot="1">
      <c r="A93" s="3">
        <f>A92+13</f>
        <v>1023652189</v>
      </c>
      <c r="B93" s="9">
        <f t="shared" ca="1" si="2"/>
        <v>5</v>
      </c>
      <c r="C93" s="145">
        <f t="shared" ca="1" si="3"/>
        <v>120</v>
      </c>
    </row>
    <row r="94" spans="1:3" ht="13.5" thickBot="1">
      <c r="A94" s="3">
        <v>1023652177</v>
      </c>
      <c r="B94" s="9">
        <f t="shared" ca="1" si="2"/>
        <v>5</v>
      </c>
      <c r="C94" s="145">
        <f t="shared" ca="1" si="3"/>
        <v>120</v>
      </c>
    </row>
    <row r="95" spans="1:3" ht="13.5" thickBot="1">
      <c r="A95" s="3">
        <f>A94+13</f>
        <v>1023652190</v>
      </c>
      <c r="B95" s="9">
        <f t="shared" ca="1" si="2"/>
        <v>2</v>
      </c>
      <c r="C95" s="145">
        <f t="shared" ca="1" si="3"/>
        <v>48</v>
      </c>
    </row>
    <row r="96" spans="1:3" ht="13.5" thickBot="1">
      <c r="A96" s="3">
        <v>1023652178</v>
      </c>
      <c r="B96" s="9">
        <f t="shared" ca="1" si="2"/>
        <v>1</v>
      </c>
      <c r="C96" s="145">
        <f t="shared" ca="1" si="3"/>
        <v>24</v>
      </c>
    </row>
    <row r="97" spans="1:3" ht="13.5" thickBot="1">
      <c r="A97" s="3">
        <f>A96+13</f>
        <v>1023652191</v>
      </c>
      <c r="B97" s="9">
        <f t="shared" ca="1" si="2"/>
        <v>5</v>
      </c>
      <c r="C97" s="145">
        <f t="shared" ca="1" si="3"/>
        <v>120</v>
      </c>
    </row>
    <row r="98" spans="1:3" ht="13.5" thickBot="1">
      <c r="A98" s="3">
        <v>1023652179</v>
      </c>
      <c r="B98" s="9">
        <f t="shared" ca="1" si="2"/>
        <v>0</v>
      </c>
      <c r="C98" s="145">
        <f t="shared" ca="1" si="3"/>
        <v>0</v>
      </c>
    </row>
    <row r="99" spans="1:3" ht="13.5" thickBot="1">
      <c r="A99" s="3">
        <f>A98+13</f>
        <v>1023652192</v>
      </c>
      <c r="B99" s="9">
        <f t="shared" ca="1" si="2"/>
        <v>2</v>
      </c>
      <c r="C99" s="145">
        <f t="shared" ca="1" si="3"/>
        <v>48</v>
      </c>
    </row>
    <row r="100" spans="1:3" ht="13.5" thickBot="1">
      <c r="A100" s="3">
        <v>1023652180</v>
      </c>
      <c r="B100" s="9">
        <f t="shared" ca="1" si="2"/>
        <v>4</v>
      </c>
      <c r="C100" s="145">
        <f t="shared" ca="1" si="3"/>
        <v>96</v>
      </c>
    </row>
    <row r="101" spans="1:3" ht="13.5" thickBot="1">
      <c r="A101" s="3">
        <f>A100+13</f>
        <v>1023652193</v>
      </c>
      <c r="B101" s="9">
        <f t="shared" ca="1" si="2"/>
        <v>5</v>
      </c>
      <c r="C101" s="145">
        <f t="shared" ca="1" si="3"/>
        <v>120</v>
      </c>
    </row>
    <row r="102" spans="1:3" ht="13.5" thickBot="1">
      <c r="A102" s="3">
        <v>1023652181</v>
      </c>
      <c r="B102" s="9">
        <f t="shared" ca="1" si="2"/>
        <v>0</v>
      </c>
      <c r="C102" s="145">
        <f t="shared" ca="1" si="3"/>
        <v>0</v>
      </c>
    </row>
    <row r="103" spans="1:3" ht="13.5" thickBot="1">
      <c r="A103" s="3">
        <f>A102+13</f>
        <v>1023652194</v>
      </c>
      <c r="B103" s="9">
        <f t="shared" ca="1" si="2"/>
        <v>3</v>
      </c>
      <c r="C103" s="145">
        <f t="shared" ca="1" si="3"/>
        <v>72</v>
      </c>
    </row>
    <row r="104" spans="1:3" ht="13.5" thickBot="1">
      <c r="A104" s="3">
        <v>1023652182</v>
      </c>
      <c r="B104" s="9">
        <f t="shared" ca="1" si="2"/>
        <v>4</v>
      </c>
      <c r="C104" s="145">
        <f t="shared" ca="1" si="3"/>
        <v>96</v>
      </c>
    </row>
    <row r="105" spans="1:3" ht="13.5" thickBot="1">
      <c r="A105" s="3">
        <f>A104+13</f>
        <v>1023652195</v>
      </c>
      <c r="B105" s="9">
        <f t="shared" ca="1" si="2"/>
        <v>5</v>
      </c>
      <c r="C105" s="145">
        <f t="shared" ca="1" si="3"/>
        <v>120</v>
      </c>
    </row>
    <row r="106" spans="1:3" ht="13.5" thickBot="1">
      <c r="A106" s="3">
        <v>1023652183</v>
      </c>
      <c r="B106" s="9">
        <f t="shared" ca="1" si="2"/>
        <v>5</v>
      </c>
      <c r="C106" s="145">
        <f t="shared" ca="1" si="3"/>
        <v>120</v>
      </c>
    </row>
    <row r="107" spans="1:3" ht="13.5" thickBot="1">
      <c r="A107" s="3">
        <f>A106+13</f>
        <v>1023652196</v>
      </c>
      <c r="B107" s="9">
        <f t="shared" ca="1" si="2"/>
        <v>5</v>
      </c>
      <c r="C107" s="145">
        <f t="shared" ca="1" si="3"/>
        <v>120</v>
      </c>
    </row>
    <row r="108" spans="1:3" ht="13.5" thickBot="1">
      <c r="A108" s="3">
        <v>1023652184</v>
      </c>
      <c r="B108" s="9">
        <f t="shared" ca="1" si="2"/>
        <v>2</v>
      </c>
      <c r="C108" s="145">
        <f t="shared" ca="1" si="3"/>
        <v>48</v>
      </c>
    </row>
    <row r="109" spans="1:3" ht="13.5" thickBot="1">
      <c r="A109" s="3">
        <f>A108+13</f>
        <v>1023652197</v>
      </c>
      <c r="B109" s="9">
        <f t="shared" ca="1" si="2"/>
        <v>4</v>
      </c>
      <c r="C109" s="145">
        <f t="shared" ca="1" si="3"/>
        <v>96</v>
      </c>
    </row>
    <row r="110" spans="1:3" ht="13.5" thickBot="1">
      <c r="A110" s="3">
        <v>1023652185</v>
      </c>
      <c r="B110" s="9">
        <f t="shared" ca="1" si="2"/>
        <v>2</v>
      </c>
      <c r="C110" s="145">
        <f t="shared" ca="1" si="3"/>
        <v>48</v>
      </c>
    </row>
    <row r="111" spans="1:3" ht="13.5" thickBot="1">
      <c r="A111" s="3">
        <f>A110+13</f>
        <v>1023652198</v>
      </c>
      <c r="B111" s="9">
        <f t="shared" ca="1" si="2"/>
        <v>0</v>
      </c>
      <c r="C111" s="145">
        <f t="shared" ca="1" si="3"/>
        <v>0</v>
      </c>
    </row>
    <row r="112" spans="1:3" ht="13.5" thickBot="1">
      <c r="A112" s="3">
        <v>1023652186</v>
      </c>
      <c r="B112" s="9">
        <f t="shared" ca="1" si="2"/>
        <v>0</v>
      </c>
      <c r="C112" s="145">
        <f t="shared" ca="1" si="3"/>
        <v>0</v>
      </c>
    </row>
    <row r="113" spans="1:3" ht="13.5" thickBot="1">
      <c r="A113" s="3">
        <f>A112+13</f>
        <v>1023652199</v>
      </c>
      <c r="B113" s="9">
        <f t="shared" ca="1" si="2"/>
        <v>6</v>
      </c>
      <c r="C113" s="145">
        <f t="shared" ca="1" si="3"/>
        <v>144</v>
      </c>
    </row>
    <row r="114" spans="1:3" ht="13.5" thickBot="1">
      <c r="A114" s="3">
        <v>1023652187</v>
      </c>
      <c r="B114" s="9">
        <f t="shared" ca="1" si="2"/>
        <v>2</v>
      </c>
      <c r="C114" s="145">
        <f t="shared" ca="1" si="3"/>
        <v>48</v>
      </c>
    </row>
    <row r="115" spans="1:3" ht="13.5" thickBot="1">
      <c r="A115" s="3">
        <f>A114+13</f>
        <v>1023652200</v>
      </c>
      <c r="B115" s="9">
        <f t="shared" ca="1" si="2"/>
        <v>0</v>
      </c>
      <c r="C115" s="145">
        <f t="shared" ca="1" si="3"/>
        <v>0</v>
      </c>
    </row>
    <row r="116" spans="1:3" ht="13.5" thickBot="1">
      <c r="A116" s="3">
        <v>1023652188</v>
      </c>
      <c r="B116" s="9">
        <f t="shared" ca="1" si="2"/>
        <v>4</v>
      </c>
      <c r="C116" s="145">
        <f t="shared" ca="1" si="3"/>
        <v>96</v>
      </c>
    </row>
    <row r="117" spans="1:3" ht="13.5" thickBot="1">
      <c r="A117" s="3">
        <f>A116+13</f>
        <v>1023652201</v>
      </c>
      <c r="B117" s="9">
        <f t="shared" ca="1" si="2"/>
        <v>2</v>
      </c>
      <c r="C117" s="145">
        <f t="shared" ca="1" si="3"/>
        <v>48</v>
      </c>
    </row>
    <row r="118" spans="1:3" ht="13.5" thickBot="1">
      <c r="A118" s="3">
        <v>1023652189</v>
      </c>
      <c r="B118" s="9">
        <f t="shared" ca="1" si="2"/>
        <v>2</v>
      </c>
      <c r="C118" s="145">
        <f t="shared" ca="1" si="3"/>
        <v>48</v>
      </c>
    </row>
    <row r="119" spans="1:3" ht="13.5" thickBot="1">
      <c r="A119" s="3">
        <f>A118+13</f>
        <v>1023652202</v>
      </c>
      <c r="B119" s="9">
        <f t="shared" ca="1" si="2"/>
        <v>2</v>
      </c>
      <c r="C119" s="145">
        <f t="shared" ca="1" si="3"/>
        <v>48</v>
      </c>
    </row>
    <row r="120" spans="1:3" ht="13.5" thickBot="1">
      <c r="A120" s="3">
        <v>1023652190</v>
      </c>
      <c r="B120" s="9">
        <f t="shared" ca="1" si="2"/>
        <v>1</v>
      </c>
      <c r="C120" s="145">
        <f t="shared" ca="1" si="3"/>
        <v>24</v>
      </c>
    </row>
    <row r="121" spans="1:3" ht="13.5" thickBot="1">
      <c r="A121" s="3">
        <f>A120+13</f>
        <v>1023652203</v>
      </c>
      <c r="B121" s="9">
        <f t="shared" ca="1" si="2"/>
        <v>2</v>
      </c>
      <c r="C121" s="145">
        <f t="shared" ca="1" si="3"/>
        <v>48</v>
      </c>
    </row>
    <row r="122" spans="1:3" ht="13.5" thickBot="1">
      <c r="A122" s="3">
        <v>1023652191</v>
      </c>
      <c r="B122" s="9">
        <f t="shared" ca="1" si="2"/>
        <v>4</v>
      </c>
      <c r="C122" s="145">
        <f t="shared" ca="1" si="3"/>
        <v>96</v>
      </c>
    </row>
    <row r="123" spans="1:3" ht="13.5" thickBot="1">
      <c r="A123" s="3">
        <f>A122+13</f>
        <v>1023652204</v>
      </c>
      <c r="B123" s="9">
        <f t="shared" ca="1" si="2"/>
        <v>4</v>
      </c>
      <c r="C123" s="145">
        <f t="shared" ca="1" si="3"/>
        <v>96</v>
      </c>
    </row>
    <row r="124" spans="1:3" ht="13.5" thickBot="1">
      <c r="A124" s="3">
        <v>1023652192</v>
      </c>
      <c r="B124" s="9">
        <f t="shared" ca="1" si="2"/>
        <v>3</v>
      </c>
      <c r="C124" s="145">
        <f t="shared" ca="1" si="3"/>
        <v>72</v>
      </c>
    </row>
    <row r="125" spans="1:3" ht="13.5" thickBot="1">
      <c r="A125" s="3">
        <f>A124+13</f>
        <v>1023652205</v>
      </c>
      <c r="B125" s="9">
        <f t="shared" ca="1" si="2"/>
        <v>4</v>
      </c>
      <c r="C125" s="145">
        <f t="shared" ca="1" si="3"/>
        <v>96</v>
      </c>
    </row>
    <row r="126" spans="1:3" ht="13.5" thickBot="1">
      <c r="A126" s="3">
        <v>1023652193</v>
      </c>
      <c r="B126" s="9">
        <f t="shared" ca="1" si="2"/>
        <v>0</v>
      </c>
      <c r="C126" s="145">
        <f t="shared" ca="1" si="3"/>
        <v>0</v>
      </c>
    </row>
    <row r="127" spans="1:3" ht="13.5" thickBot="1">
      <c r="A127" s="3">
        <f>A126+13</f>
        <v>1023652206</v>
      </c>
      <c r="B127" s="9">
        <f t="shared" ca="1" si="2"/>
        <v>1</v>
      </c>
      <c r="C127" s="145">
        <f t="shared" ca="1" si="3"/>
        <v>24</v>
      </c>
    </row>
    <row r="128" spans="1:3" ht="13.5" thickBot="1">
      <c r="A128" s="3">
        <v>1023652194</v>
      </c>
      <c r="B128" s="9">
        <f t="shared" ca="1" si="2"/>
        <v>5</v>
      </c>
      <c r="C128" s="145">
        <f t="shared" ca="1" si="3"/>
        <v>120</v>
      </c>
    </row>
    <row r="129" spans="1:3" ht="13.5" thickBot="1">
      <c r="A129" s="3">
        <f>A128+13</f>
        <v>1023652207</v>
      </c>
      <c r="B129" s="9">
        <f t="shared" ca="1" si="2"/>
        <v>3</v>
      </c>
      <c r="C129" s="145">
        <f t="shared" ca="1" si="3"/>
        <v>72</v>
      </c>
    </row>
    <row r="130" spans="1:3" ht="13.5" thickBot="1">
      <c r="A130" s="3">
        <v>1023652195</v>
      </c>
      <c r="B130" s="9">
        <f t="shared" ca="1" si="2"/>
        <v>4</v>
      </c>
      <c r="C130" s="145">
        <f t="shared" ca="1" si="3"/>
        <v>96</v>
      </c>
    </row>
    <row r="131" spans="1:3" ht="13.5" thickBot="1">
      <c r="A131" s="3">
        <f>A130+13</f>
        <v>1023652208</v>
      </c>
      <c r="B131" s="9">
        <f t="shared" ca="1" si="2"/>
        <v>4</v>
      </c>
      <c r="C131" s="145">
        <f t="shared" ca="1" si="3"/>
        <v>96</v>
      </c>
    </row>
    <row r="132" spans="1:3" ht="13.5" thickBot="1">
      <c r="A132" s="3">
        <v>1023652196</v>
      </c>
      <c r="B132" s="9">
        <f t="shared" ca="1" si="2"/>
        <v>2</v>
      </c>
      <c r="C132" s="145">
        <f t="shared" ca="1" si="3"/>
        <v>48</v>
      </c>
    </row>
    <row r="133" spans="1:3" ht="13.5" thickBot="1">
      <c r="A133" s="3">
        <f>A132+13</f>
        <v>1023652209</v>
      </c>
      <c r="B133" s="9">
        <f t="shared" ca="1" si="2"/>
        <v>1</v>
      </c>
      <c r="C133" s="145">
        <f t="shared" ca="1" si="3"/>
        <v>24</v>
      </c>
    </row>
    <row r="134" spans="1:3" ht="13.5" thickBot="1">
      <c r="A134" s="3">
        <v>1023652197</v>
      </c>
      <c r="B134" s="9">
        <f t="shared" ca="1" si="2"/>
        <v>0</v>
      </c>
      <c r="C134" s="145">
        <f t="shared" ca="1" si="3"/>
        <v>0</v>
      </c>
    </row>
    <row r="135" spans="1:3" ht="13.5" thickBot="1">
      <c r="A135" s="3">
        <f>A134+13</f>
        <v>1023652210</v>
      </c>
      <c r="B135" s="9">
        <f t="shared" ca="1" si="2"/>
        <v>6</v>
      </c>
      <c r="C135" s="145">
        <f t="shared" ca="1" si="3"/>
        <v>144</v>
      </c>
    </row>
    <row r="136" spans="1:3" ht="13.5" thickBot="1">
      <c r="A136" s="3">
        <v>1023652198</v>
      </c>
      <c r="B136" s="9">
        <f t="shared" ca="1" si="2"/>
        <v>2</v>
      </c>
      <c r="C136" s="145">
        <f t="shared" ca="1" si="3"/>
        <v>48</v>
      </c>
    </row>
    <row r="137" spans="1:3" ht="13.5" thickBot="1">
      <c r="A137" s="3">
        <f>A136+13</f>
        <v>1023652211</v>
      </c>
      <c r="B137" s="9">
        <f t="shared" ca="1" si="2"/>
        <v>6</v>
      </c>
      <c r="C137" s="145">
        <f t="shared" ca="1" si="3"/>
        <v>144</v>
      </c>
    </row>
    <row r="138" spans="1:3" ht="13.5" thickBot="1">
      <c r="A138" s="3">
        <v>1023652199</v>
      </c>
      <c r="B138" s="9">
        <f t="shared" ca="1" si="2"/>
        <v>2</v>
      </c>
      <c r="C138" s="145">
        <f t="shared" ca="1" si="3"/>
        <v>48</v>
      </c>
    </row>
    <row r="139" spans="1:3" ht="13.5" thickBot="1">
      <c r="A139" s="3">
        <f>A138+13</f>
        <v>1023652212</v>
      </c>
      <c r="B139" s="9">
        <f t="shared" ref="B139:B200" ca="1" si="4">ROUND(RAND()*6,0)</f>
        <v>0</v>
      </c>
      <c r="C139" s="145">
        <f t="shared" ref="C139:C200" ca="1" si="5">B139*$A$2</f>
        <v>0</v>
      </c>
    </row>
    <row r="140" spans="1:3" ht="13.5" thickBot="1">
      <c r="A140" s="3">
        <v>1023652200</v>
      </c>
      <c r="B140" s="9">
        <f t="shared" ca="1" si="4"/>
        <v>1</v>
      </c>
      <c r="C140" s="145">
        <f t="shared" ca="1" si="5"/>
        <v>24</v>
      </c>
    </row>
    <row r="141" spans="1:3" ht="13.5" thickBot="1">
      <c r="A141" s="3">
        <f>A140+13</f>
        <v>1023652213</v>
      </c>
      <c r="B141" s="9">
        <f t="shared" ca="1" si="4"/>
        <v>2</v>
      </c>
      <c r="C141" s="145">
        <f t="shared" ca="1" si="5"/>
        <v>48</v>
      </c>
    </row>
    <row r="142" spans="1:3" ht="13.5" thickBot="1">
      <c r="A142" s="3">
        <v>1023652201</v>
      </c>
      <c r="B142" s="9">
        <f t="shared" ca="1" si="4"/>
        <v>3</v>
      </c>
      <c r="C142" s="145">
        <f t="shared" ca="1" si="5"/>
        <v>72</v>
      </c>
    </row>
    <row r="143" spans="1:3" ht="13.5" thickBot="1">
      <c r="A143" s="3">
        <f>A142+13</f>
        <v>1023652214</v>
      </c>
      <c r="B143" s="9">
        <f t="shared" ca="1" si="4"/>
        <v>4</v>
      </c>
      <c r="C143" s="145">
        <f t="shared" ca="1" si="5"/>
        <v>96</v>
      </c>
    </row>
    <row r="144" spans="1:3" ht="13.5" thickBot="1">
      <c r="A144" s="3">
        <v>1023652202</v>
      </c>
      <c r="B144" s="9">
        <f t="shared" ca="1" si="4"/>
        <v>5</v>
      </c>
      <c r="C144" s="145">
        <f t="shared" ca="1" si="5"/>
        <v>120</v>
      </c>
    </row>
    <row r="145" spans="1:3" ht="13.5" thickBot="1">
      <c r="A145" s="3">
        <f>A144+13</f>
        <v>1023652215</v>
      </c>
      <c r="B145" s="9">
        <f t="shared" ca="1" si="4"/>
        <v>0</v>
      </c>
      <c r="C145" s="145">
        <f t="shared" ca="1" si="5"/>
        <v>0</v>
      </c>
    </row>
    <row r="146" spans="1:3" ht="13.5" thickBot="1">
      <c r="A146" s="3">
        <v>1023652203</v>
      </c>
      <c r="B146" s="9">
        <f t="shared" ca="1" si="4"/>
        <v>5</v>
      </c>
      <c r="C146" s="145">
        <f t="shared" ca="1" si="5"/>
        <v>120</v>
      </c>
    </row>
    <row r="147" spans="1:3" ht="13.5" thickBot="1">
      <c r="A147" s="3">
        <f>A146+13</f>
        <v>1023652216</v>
      </c>
      <c r="B147" s="9">
        <f t="shared" ca="1" si="4"/>
        <v>4</v>
      </c>
      <c r="C147" s="145">
        <f t="shared" ca="1" si="5"/>
        <v>96</v>
      </c>
    </row>
    <row r="148" spans="1:3" ht="13.5" thickBot="1">
      <c r="A148" s="3">
        <v>1023652204</v>
      </c>
      <c r="B148" s="9">
        <f t="shared" ca="1" si="4"/>
        <v>0</v>
      </c>
      <c r="C148" s="145">
        <f t="shared" ca="1" si="5"/>
        <v>0</v>
      </c>
    </row>
    <row r="149" spans="1:3" ht="13.5" thickBot="1">
      <c r="A149" s="3">
        <f>A148+13</f>
        <v>1023652217</v>
      </c>
      <c r="B149" s="9">
        <f t="shared" ca="1" si="4"/>
        <v>1</v>
      </c>
      <c r="C149" s="145">
        <f t="shared" ca="1" si="5"/>
        <v>24</v>
      </c>
    </row>
    <row r="150" spans="1:3" ht="13.5" thickBot="1">
      <c r="A150" s="3">
        <v>1023652205</v>
      </c>
      <c r="B150" s="9">
        <f t="shared" ca="1" si="4"/>
        <v>1</v>
      </c>
      <c r="C150" s="145">
        <f t="shared" ca="1" si="5"/>
        <v>24</v>
      </c>
    </row>
    <row r="151" spans="1:3" ht="13.5" thickBot="1">
      <c r="A151" s="3">
        <f>A150+13</f>
        <v>1023652218</v>
      </c>
      <c r="B151" s="9">
        <f t="shared" ca="1" si="4"/>
        <v>3</v>
      </c>
      <c r="C151" s="145">
        <f t="shared" ca="1" si="5"/>
        <v>72</v>
      </c>
    </row>
    <row r="152" spans="1:3" ht="13.5" thickBot="1">
      <c r="A152" s="3">
        <v>1023652206</v>
      </c>
      <c r="B152" s="9">
        <f t="shared" ca="1" si="4"/>
        <v>1</v>
      </c>
      <c r="C152" s="145">
        <f t="shared" ca="1" si="5"/>
        <v>24</v>
      </c>
    </row>
    <row r="153" spans="1:3" ht="13.5" thickBot="1">
      <c r="A153" s="3">
        <f>A152+13</f>
        <v>1023652219</v>
      </c>
      <c r="B153" s="9">
        <f t="shared" ca="1" si="4"/>
        <v>4</v>
      </c>
      <c r="C153" s="145">
        <f t="shared" ca="1" si="5"/>
        <v>96</v>
      </c>
    </row>
    <row r="154" spans="1:3" ht="13.5" thickBot="1">
      <c r="A154" s="3">
        <v>1023652207</v>
      </c>
      <c r="B154" s="9">
        <f t="shared" ca="1" si="4"/>
        <v>5</v>
      </c>
      <c r="C154" s="145">
        <f t="shared" ca="1" si="5"/>
        <v>120</v>
      </c>
    </row>
    <row r="155" spans="1:3" ht="13.5" thickBot="1">
      <c r="A155" s="3">
        <f>A154+13</f>
        <v>1023652220</v>
      </c>
      <c r="B155" s="9">
        <f t="shared" ca="1" si="4"/>
        <v>3</v>
      </c>
      <c r="C155" s="145">
        <f t="shared" ca="1" si="5"/>
        <v>72</v>
      </c>
    </row>
    <row r="156" spans="1:3" ht="13.5" thickBot="1">
      <c r="A156" s="3">
        <v>1023652208</v>
      </c>
      <c r="B156" s="9">
        <f t="shared" ca="1" si="4"/>
        <v>3</v>
      </c>
      <c r="C156" s="145">
        <f t="shared" ca="1" si="5"/>
        <v>72</v>
      </c>
    </row>
    <row r="157" spans="1:3" ht="13.5" thickBot="1">
      <c r="A157" s="3">
        <f>A156+13</f>
        <v>1023652221</v>
      </c>
      <c r="B157" s="9">
        <f t="shared" ca="1" si="4"/>
        <v>4</v>
      </c>
      <c r="C157" s="145">
        <f t="shared" ca="1" si="5"/>
        <v>96</v>
      </c>
    </row>
    <row r="158" spans="1:3" ht="13.5" thickBot="1">
      <c r="A158" s="3">
        <v>1023652209</v>
      </c>
      <c r="B158" s="9">
        <f t="shared" ca="1" si="4"/>
        <v>1</v>
      </c>
      <c r="C158" s="145">
        <f t="shared" ca="1" si="5"/>
        <v>24</v>
      </c>
    </row>
    <row r="159" spans="1:3" ht="13.5" thickBot="1">
      <c r="A159" s="3">
        <f>A158+13</f>
        <v>1023652222</v>
      </c>
      <c r="B159" s="9">
        <f t="shared" ca="1" si="4"/>
        <v>3</v>
      </c>
      <c r="C159" s="145">
        <f t="shared" ca="1" si="5"/>
        <v>72</v>
      </c>
    </row>
    <row r="160" spans="1:3" ht="13.5" thickBot="1">
      <c r="A160" s="3">
        <v>1023652210</v>
      </c>
      <c r="B160" s="9">
        <f t="shared" ca="1" si="4"/>
        <v>6</v>
      </c>
      <c r="C160" s="145">
        <f t="shared" ca="1" si="5"/>
        <v>144</v>
      </c>
    </row>
    <row r="161" spans="1:3" ht="13.5" thickBot="1">
      <c r="A161" s="3">
        <f>A160+13</f>
        <v>1023652223</v>
      </c>
      <c r="B161" s="9">
        <f t="shared" ca="1" si="4"/>
        <v>1</v>
      </c>
      <c r="C161" s="145">
        <f t="shared" ca="1" si="5"/>
        <v>24</v>
      </c>
    </row>
    <row r="162" spans="1:3" ht="13.5" thickBot="1">
      <c r="A162" s="3">
        <v>1023652211</v>
      </c>
      <c r="B162" s="9">
        <f t="shared" ca="1" si="4"/>
        <v>2</v>
      </c>
      <c r="C162" s="145">
        <f t="shared" ca="1" si="5"/>
        <v>48</v>
      </c>
    </row>
    <row r="163" spans="1:3" ht="13.5" thickBot="1">
      <c r="A163" s="3">
        <f>A162+13</f>
        <v>1023652224</v>
      </c>
      <c r="B163" s="9">
        <f t="shared" ca="1" si="4"/>
        <v>1</v>
      </c>
      <c r="C163" s="145">
        <f t="shared" ca="1" si="5"/>
        <v>24</v>
      </c>
    </row>
    <row r="164" spans="1:3" ht="13.5" thickBot="1">
      <c r="A164" s="3">
        <v>1023652212</v>
      </c>
      <c r="B164" s="9">
        <f t="shared" ca="1" si="4"/>
        <v>3</v>
      </c>
      <c r="C164" s="145">
        <f t="shared" ca="1" si="5"/>
        <v>72</v>
      </c>
    </row>
    <row r="165" spans="1:3" ht="13.5" thickBot="1">
      <c r="A165" s="3">
        <f>A164+13</f>
        <v>1023652225</v>
      </c>
      <c r="B165" s="9">
        <f t="shared" ca="1" si="4"/>
        <v>1</v>
      </c>
      <c r="C165" s="145">
        <f t="shared" ca="1" si="5"/>
        <v>24</v>
      </c>
    </row>
    <row r="166" spans="1:3" ht="13.5" thickBot="1">
      <c r="A166" s="3">
        <v>1023652213</v>
      </c>
      <c r="B166" s="9">
        <f t="shared" ca="1" si="4"/>
        <v>2</v>
      </c>
      <c r="C166" s="145">
        <f t="shared" ca="1" si="5"/>
        <v>48</v>
      </c>
    </row>
    <row r="167" spans="1:3" ht="13.5" thickBot="1">
      <c r="A167" s="3">
        <f>A166+13</f>
        <v>1023652226</v>
      </c>
      <c r="B167" s="9">
        <f t="shared" ca="1" si="4"/>
        <v>4</v>
      </c>
      <c r="C167" s="145">
        <f t="shared" ca="1" si="5"/>
        <v>96</v>
      </c>
    </row>
    <row r="168" spans="1:3" ht="13.5" thickBot="1">
      <c r="A168" s="3">
        <v>1023652214</v>
      </c>
      <c r="B168" s="9">
        <f t="shared" ca="1" si="4"/>
        <v>3</v>
      </c>
      <c r="C168" s="145">
        <f t="shared" ca="1" si="5"/>
        <v>72</v>
      </c>
    </row>
    <row r="169" spans="1:3" ht="13.5" thickBot="1">
      <c r="A169" s="3">
        <f>A168+13</f>
        <v>1023652227</v>
      </c>
      <c r="B169" s="9">
        <f t="shared" ca="1" si="4"/>
        <v>2</v>
      </c>
      <c r="C169" s="145">
        <f t="shared" ca="1" si="5"/>
        <v>48</v>
      </c>
    </row>
    <row r="170" spans="1:3" ht="13.5" thickBot="1">
      <c r="A170" s="3">
        <v>1023652215</v>
      </c>
      <c r="B170" s="9">
        <f t="shared" ca="1" si="4"/>
        <v>3</v>
      </c>
      <c r="C170" s="145">
        <f t="shared" ca="1" si="5"/>
        <v>72</v>
      </c>
    </row>
    <row r="171" spans="1:3" ht="13.5" thickBot="1">
      <c r="A171" s="3">
        <f>A170+13</f>
        <v>1023652228</v>
      </c>
      <c r="B171" s="9">
        <f t="shared" ca="1" si="4"/>
        <v>3</v>
      </c>
      <c r="C171" s="145">
        <f t="shared" ca="1" si="5"/>
        <v>72</v>
      </c>
    </row>
    <row r="172" spans="1:3" ht="13.5" thickBot="1">
      <c r="A172" s="3">
        <v>1023652216</v>
      </c>
      <c r="B172" s="9">
        <f t="shared" ca="1" si="4"/>
        <v>0</v>
      </c>
      <c r="C172" s="145">
        <f t="shared" ca="1" si="5"/>
        <v>0</v>
      </c>
    </row>
    <row r="173" spans="1:3" ht="13.5" thickBot="1">
      <c r="A173" s="3">
        <f>A172+13</f>
        <v>1023652229</v>
      </c>
      <c r="B173" s="9">
        <f t="shared" ca="1" si="4"/>
        <v>4</v>
      </c>
      <c r="C173" s="145">
        <f t="shared" ca="1" si="5"/>
        <v>96</v>
      </c>
    </row>
    <row r="174" spans="1:3" ht="13.5" thickBot="1">
      <c r="A174" s="3">
        <v>1023652217</v>
      </c>
      <c r="B174" s="9">
        <f t="shared" ca="1" si="4"/>
        <v>4</v>
      </c>
      <c r="C174" s="145">
        <f t="shared" ca="1" si="5"/>
        <v>96</v>
      </c>
    </row>
    <row r="175" spans="1:3" ht="13.5" thickBot="1">
      <c r="A175" s="3">
        <f>A174+13</f>
        <v>1023652230</v>
      </c>
      <c r="B175" s="9">
        <f t="shared" ca="1" si="4"/>
        <v>4</v>
      </c>
      <c r="C175" s="145">
        <f t="shared" ca="1" si="5"/>
        <v>96</v>
      </c>
    </row>
    <row r="176" spans="1:3" ht="13.5" thickBot="1">
      <c r="A176" s="3">
        <v>1023652218</v>
      </c>
      <c r="B176" s="9">
        <f t="shared" ca="1" si="4"/>
        <v>4</v>
      </c>
      <c r="C176" s="145">
        <f t="shared" ca="1" si="5"/>
        <v>96</v>
      </c>
    </row>
    <row r="177" spans="1:3" ht="13.5" thickBot="1">
      <c r="A177" s="3">
        <f>A176+13</f>
        <v>1023652231</v>
      </c>
      <c r="B177" s="9">
        <f t="shared" ca="1" si="4"/>
        <v>3</v>
      </c>
      <c r="C177" s="145">
        <f t="shared" ca="1" si="5"/>
        <v>72</v>
      </c>
    </row>
    <row r="178" spans="1:3" ht="13.5" thickBot="1">
      <c r="A178" s="3">
        <v>1023652219</v>
      </c>
      <c r="B178" s="9">
        <f t="shared" ca="1" si="4"/>
        <v>3</v>
      </c>
      <c r="C178" s="145">
        <f t="shared" ca="1" si="5"/>
        <v>72</v>
      </c>
    </row>
    <row r="179" spans="1:3" ht="13.5" thickBot="1">
      <c r="A179" s="3">
        <f>A178+13</f>
        <v>1023652232</v>
      </c>
      <c r="B179" s="9">
        <f t="shared" ca="1" si="4"/>
        <v>6</v>
      </c>
      <c r="C179" s="145">
        <f t="shared" ca="1" si="5"/>
        <v>144</v>
      </c>
    </row>
    <row r="180" spans="1:3" ht="13.5" thickBot="1">
      <c r="A180" s="3">
        <v>1023652220</v>
      </c>
      <c r="B180" s="9">
        <f t="shared" ca="1" si="4"/>
        <v>3</v>
      </c>
      <c r="C180" s="145">
        <f t="shared" ca="1" si="5"/>
        <v>72</v>
      </c>
    </row>
    <row r="181" spans="1:3" ht="13.5" thickBot="1">
      <c r="A181" s="3">
        <f>A180+13</f>
        <v>1023652233</v>
      </c>
      <c r="B181" s="9">
        <f t="shared" ca="1" si="4"/>
        <v>3</v>
      </c>
      <c r="C181" s="145">
        <f t="shared" ca="1" si="5"/>
        <v>72</v>
      </c>
    </row>
    <row r="182" spans="1:3" ht="13.5" thickBot="1">
      <c r="A182" s="3">
        <v>1023652221</v>
      </c>
      <c r="B182" s="9">
        <f t="shared" ca="1" si="4"/>
        <v>2</v>
      </c>
      <c r="C182" s="145">
        <f t="shared" ca="1" si="5"/>
        <v>48</v>
      </c>
    </row>
    <row r="183" spans="1:3" ht="13.5" thickBot="1">
      <c r="A183" s="3">
        <f>A182+13</f>
        <v>1023652234</v>
      </c>
      <c r="B183" s="9">
        <f t="shared" ca="1" si="4"/>
        <v>1</v>
      </c>
      <c r="C183" s="145">
        <f t="shared" ca="1" si="5"/>
        <v>24</v>
      </c>
    </row>
    <row r="184" spans="1:3" ht="13.5" thickBot="1">
      <c r="A184" s="3">
        <v>1023652222</v>
      </c>
      <c r="B184" s="9">
        <f t="shared" ca="1" si="4"/>
        <v>3</v>
      </c>
      <c r="C184" s="145">
        <f t="shared" ca="1" si="5"/>
        <v>72</v>
      </c>
    </row>
    <row r="185" spans="1:3" ht="13.5" thickBot="1">
      <c r="A185" s="3">
        <f>A184+13</f>
        <v>1023652235</v>
      </c>
      <c r="B185" s="9">
        <f t="shared" ca="1" si="4"/>
        <v>5</v>
      </c>
      <c r="C185" s="145">
        <f t="shared" ca="1" si="5"/>
        <v>120</v>
      </c>
    </row>
    <row r="186" spans="1:3" ht="13.5" thickBot="1">
      <c r="A186" s="3">
        <v>1023652223</v>
      </c>
      <c r="B186" s="9">
        <f t="shared" ca="1" si="4"/>
        <v>6</v>
      </c>
      <c r="C186" s="145">
        <f t="shared" ca="1" si="5"/>
        <v>144</v>
      </c>
    </row>
    <row r="187" spans="1:3" ht="13.5" thickBot="1">
      <c r="A187" s="3">
        <f>A186+13</f>
        <v>1023652236</v>
      </c>
      <c r="B187" s="9">
        <f t="shared" ca="1" si="4"/>
        <v>1</v>
      </c>
      <c r="C187" s="145">
        <f t="shared" ca="1" si="5"/>
        <v>24</v>
      </c>
    </row>
    <row r="188" spans="1:3" ht="13.5" thickBot="1">
      <c r="A188" s="3">
        <v>1023652224</v>
      </c>
      <c r="B188" s="9">
        <f t="shared" ca="1" si="4"/>
        <v>2</v>
      </c>
      <c r="C188" s="145">
        <f t="shared" ca="1" si="5"/>
        <v>48</v>
      </c>
    </row>
    <row r="189" spans="1:3" ht="13.5" thickBot="1">
      <c r="A189" s="3">
        <f>A188+13</f>
        <v>1023652237</v>
      </c>
      <c r="B189" s="9">
        <f t="shared" ca="1" si="4"/>
        <v>6</v>
      </c>
      <c r="C189" s="145">
        <f t="shared" ca="1" si="5"/>
        <v>144</v>
      </c>
    </row>
    <row r="190" spans="1:3" ht="13.5" thickBot="1">
      <c r="A190" s="3">
        <v>1023652225</v>
      </c>
      <c r="B190" s="9">
        <f t="shared" ca="1" si="4"/>
        <v>4</v>
      </c>
      <c r="C190" s="145">
        <f t="shared" ca="1" si="5"/>
        <v>96</v>
      </c>
    </row>
    <row r="191" spans="1:3" ht="13.5" thickBot="1">
      <c r="A191" s="3">
        <f>A190+13</f>
        <v>1023652238</v>
      </c>
      <c r="B191" s="9">
        <f t="shared" ca="1" si="4"/>
        <v>5</v>
      </c>
      <c r="C191" s="145">
        <f t="shared" ca="1" si="5"/>
        <v>120</v>
      </c>
    </row>
    <row r="192" spans="1:3" ht="13.5" thickBot="1">
      <c r="A192" s="3">
        <v>1023652226</v>
      </c>
      <c r="B192" s="9">
        <f t="shared" ca="1" si="4"/>
        <v>3</v>
      </c>
      <c r="C192" s="145">
        <f t="shared" ca="1" si="5"/>
        <v>72</v>
      </c>
    </row>
    <row r="193" spans="1:3" ht="13.5" thickBot="1">
      <c r="A193" s="3">
        <f>A192+13</f>
        <v>1023652239</v>
      </c>
      <c r="B193" s="9">
        <f t="shared" ca="1" si="4"/>
        <v>2</v>
      </c>
      <c r="C193" s="145">
        <f t="shared" ca="1" si="5"/>
        <v>48</v>
      </c>
    </row>
    <row r="194" spans="1:3" ht="13.5" thickBot="1">
      <c r="A194" s="3">
        <v>1023652227</v>
      </c>
      <c r="B194" s="9">
        <f t="shared" ca="1" si="4"/>
        <v>5</v>
      </c>
      <c r="C194" s="145">
        <f t="shared" ca="1" si="5"/>
        <v>120</v>
      </c>
    </row>
    <row r="195" spans="1:3" ht="13.5" thickBot="1">
      <c r="A195" s="3">
        <f>A194+13</f>
        <v>1023652240</v>
      </c>
      <c r="B195" s="9">
        <f t="shared" ca="1" si="4"/>
        <v>6</v>
      </c>
      <c r="C195" s="145">
        <f t="shared" ca="1" si="5"/>
        <v>144</v>
      </c>
    </row>
    <row r="196" spans="1:3" ht="13.5" thickBot="1">
      <c r="A196" s="3">
        <v>1023652228</v>
      </c>
      <c r="B196" s="9">
        <f t="shared" ca="1" si="4"/>
        <v>6</v>
      </c>
      <c r="C196" s="145">
        <f t="shared" ca="1" si="5"/>
        <v>144</v>
      </c>
    </row>
    <row r="197" spans="1:3" ht="13.5" thickBot="1">
      <c r="A197" s="3">
        <f>A196+13</f>
        <v>1023652241</v>
      </c>
      <c r="B197" s="9">
        <f t="shared" ca="1" si="4"/>
        <v>2</v>
      </c>
      <c r="C197" s="145">
        <f t="shared" ca="1" si="5"/>
        <v>48</v>
      </c>
    </row>
    <row r="198" spans="1:3" ht="13.5" thickBot="1">
      <c r="A198" s="3">
        <v>1023652229</v>
      </c>
      <c r="B198" s="9">
        <f t="shared" ca="1" si="4"/>
        <v>4</v>
      </c>
      <c r="C198" s="145">
        <f t="shared" ca="1" si="5"/>
        <v>96</v>
      </c>
    </row>
    <row r="199" spans="1:3" ht="13.5" thickBot="1">
      <c r="A199" s="3">
        <f>A198+13</f>
        <v>1023652242</v>
      </c>
      <c r="B199" s="9">
        <f t="shared" ca="1" si="4"/>
        <v>6</v>
      </c>
      <c r="C199" s="145">
        <f t="shared" ca="1" si="5"/>
        <v>144</v>
      </c>
    </row>
    <row r="200" spans="1:3">
      <c r="A200" s="3">
        <v>1023652230</v>
      </c>
      <c r="B200" s="9">
        <f t="shared" ca="1" si="4"/>
        <v>3</v>
      </c>
      <c r="C200" s="145">
        <f t="shared" ca="1" si="5"/>
        <v>72</v>
      </c>
    </row>
  </sheetData>
  <customSheetViews>
    <customSheetView guid="{3DF5E802-5CA5-43EF-BE6A-D6FCDA5F65F2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tabSelected="1" workbookViewId="0">
      <selection activeCell="D5" sqref="D5"/>
    </sheetView>
  </sheetViews>
  <sheetFormatPr defaultRowHeight="12.75"/>
  <cols>
    <col min="1" max="1" width="14.7109375" style="24" bestFit="1" customWidth="1"/>
    <col min="2" max="2" width="10.140625" style="24" bestFit="1" customWidth="1"/>
    <col min="3" max="3" width="13.28515625" style="24" bestFit="1" customWidth="1"/>
    <col min="4" max="4" width="12.28515625" style="24" bestFit="1" customWidth="1"/>
    <col min="5" max="16384" width="9.140625" style="24"/>
  </cols>
  <sheetData>
    <row r="1" spans="1:4" ht="13.5" thickBot="1">
      <c r="A1" s="69" t="s">
        <v>110</v>
      </c>
      <c r="B1" s="70">
        <f ca="1">TODAY()</f>
        <v>45919</v>
      </c>
    </row>
    <row r="3" spans="1:4">
      <c r="B3" s="25" t="s">
        <v>53</v>
      </c>
      <c r="C3" s="25" t="s">
        <v>190</v>
      </c>
      <c r="D3" s="25" t="s">
        <v>191</v>
      </c>
    </row>
    <row r="4" spans="1:4">
      <c r="B4" s="26" t="s">
        <v>54</v>
      </c>
      <c r="C4" s="27">
        <f ca="1">RAND()*1111+DATE(YEAR(TODAY()),1,1)</f>
        <v>46406.217329347433</v>
      </c>
      <c r="D4" s="28"/>
    </row>
    <row r="5" spans="1:4">
      <c r="B5" s="26" t="s">
        <v>55</v>
      </c>
      <c r="C5" s="27">
        <f t="shared" ref="C5:C27" ca="1" si="0">RAND()*1111+DATE(YEAR(TODAY()),1,1)</f>
        <v>46740.370238428943</v>
      </c>
      <c r="D5" s="28"/>
    </row>
    <row r="6" spans="1:4">
      <c r="B6" s="26" t="s">
        <v>56</v>
      </c>
      <c r="C6" s="27">
        <f t="shared" ca="1" si="0"/>
        <v>46293.178850173324</v>
      </c>
      <c r="D6" s="28"/>
    </row>
    <row r="7" spans="1:4">
      <c r="B7" s="26" t="s">
        <v>57</v>
      </c>
      <c r="C7" s="27">
        <f t="shared" ca="1" si="0"/>
        <v>45722.398161997706</v>
      </c>
      <c r="D7" s="28"/>
    </row>
    <row r="8" spans="1:4">
      <c r="B8" s="26" t="s">
        <v>58</v>
      </c>
      <c r="C8" s="27">
        <f t="shared" ca="1" si="0"/>
        <v>45773.105839872071</v>
      </c>
      <c r="D8" s="28"/>
    </row>
    <row r="9" spans="1:4">
      <c r="B9" s="26" t="s">
        <v>59</v>
      </c>
      <c r="C9" s="27">
        <f t="shared" ca="1" si="0"/>
        <v>46195.731165695004</v>
      </c>
      <c r="D9" s="28"/>
    </row>
    <row r="10" spans="1:4">
      <c r="B10" s="26" t="s">
        <v>60</v>
      </c>
      <c r="C10" s="27">
        <f t="shared" ca="1" si="0"/>
        <v>45665.205545200704</v>
      </c>
      <c r="D10" s="28"/>
    </row>
    <row r="11" spans="1:4">
      <c r="B11" s="26" t="s">
        <v>61</v>
      </c>
      <c r="C11" s="27">
        <f t="shared" ca="1" si="0"/>
        <v>46219.54539213641</v>
      </c>
      <c r="D11" s="28"/>
    </row>
    <row r="12" spans="1:4">
      <c r="B12" s="26" t="s">
        <v>62</v>
      </c>
      <c r="C12" s="27">
        <f t="shared" ca="1" si="0"/>
        <v>46387.721215341626</v>
      </c>
      <c r="D12" s="28"/>
    </row>
    <row r="13" spans="1:4">
      <c r="B13" s="26" t="s">
        <v>63</v>
      </c>
      <c r="C13" s="27">
        <f t="shared" ca="1" si="0"/>
        <v>46545.975818367609</v>
      </c>
      <c r="D13" s="28"/>
    </row>
    <row r="14" spans="1:4">
      <c r="B14" s="26" t="s">
        <v>64</v>
      </c>
      <c r="C14" s="27">
        <f t="shared" ca="1" si="0"/>
        <v>45713.282318847829</v>
      </c>
      <c r="D14" s="28"/>
    </row>
    <row r="15" spans="1:4">
      <c r="B15" s="26" t="s">
        <v>97</v>
      </c>
      <c r="C15" s="27">
        <f t="shared" ca="1" si="0"/>
        <v>45894.386686288271</v>
      </c>
      <c r="D15" s="28"/>
    </row>
    <row r="16" spans="1:4">
      <c r="B16" s="26" t="s">
        <v>98</v>
      </c>
      <c r="C16" s="27">
        <f t="shared" ca="1" si="0"/>
        <v>46020.98373818367</v>
      </c>
      <c r="D16" s="28"/>
    </row>
    <row r="17" spans="2:4">
      <c r="B17" s="26" t="s">
        <v>99</v>
      </c>
      <c r="C17" s="27">
        <f t="shared" ca="1" si="0"/>
        <v>46381.459628337201</v>
      </c>
      <c r="D17" s="28"/>
    </row>
    <row r="18" spans="2:4">
      <c r="B18" s="26" t="s">
        <v>100</v>
      </c>
      <c r="C18" s="27">
        <f t="shared" ca="1" si="0"/>
        <v>46650.280196042942</v>
      </c>
      <c r="D18" s="28"/>
    </row>
    <row r="19" spans="2:4">
      <c r="B19" s="26" t="s">
        <v>101</v>
      </c>
      <c r="C19" s="27">
        <f t="shared" ca="1" si="0"/>
        <v>45707.670872453164</v>
      </c>
      <c r="D19" s="28"/>
    </row>
    <row r="20" spans="2:4">
      <c r="B20" s="26" t="s">
        <v>102</v>
      </c>
      <c r="C20" s="27">
        <f t="shared" ca="1" si="0"/>
        <v>46686.321880661635</v>
      </c>
      <c r="D20" s="28"/>
    </row>
    <row r="21" spans="2:4">
      <c r="B21" s="26" t="s">
        <v>103</v>
      </c>
      <c r="C21" s="27">
        <f t="shared" ca="1" si="0"/>
        <v>46480.74699697677</v>
      </c>
      <c r="D21" s="28"/>
    </row>
    <row r="22" spans="2:4">
      <c r="B22" s="26" t="s">
        <v>104</v>
      </c>
      <c r="C22" s="27">
        <f t="shared" ca="1" si="0"/>
        <v>46512.675882244475</v>
      </c>
      <c r="D22" s="28"/>
    </row>
    <row r="23" spans="2:4">
      <c r="B23" s="26" t="s">
        <v>105</v>
      </c>
      <c r="C23" s="27">
        <f t="shared" ca="1" si="0"/>
        <v>46223.083040437836</v>
      </c>
      <c r="D23" s="28"/>
    </row>
    <row r="24" spans="2:4">
      <c r="B24" s="26" t="s">
        <v>106</v>
      </c>
      <c r="C24" s="27">
        <f t="shared" ca="1" si="0"/>
        <v>46523.120867338846</v>
      </c>
      <c r="D24" s="28"/>
    </row>
    <row r="25" spans="2:4">
      <c r="B25" s="26" t="s">
        <v>107</v>
      </c>
      <c r="C25" s="27">
        <f t="shared" ca="1" si="0"/>
        <v>46500.808031389861</v>
      </c>
      <c r="D25" s="28"/>
    </row>
    <row r="26" spans="2:4">
      <c r="B26" s="26" t="s">
        <v>108</v>
      </c>
      <c r="C26" s="27">
        <f t="shared" ca="1" si="0"/>
        <v>46066.877410284978</v>
      </c>
      <c r="D26" s="28"/>
    </row>
    <row r="27" spans="2:4">
      <c r="B27" s="26" t="s">
        <v>109</v>
      </c>
      <c r="C27" s="27">
        <f t="shared" ca="1" si="0"/>
        <v>46479.121399086784</v>
      </c>
      <c r="D27" s="28"/>
    </row>
  </sheetData>
  <customSheetViews>
    <customSheetView guid="{3DF5E802-5CA5-43EF-BE6A-D6FCDA5F65F2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M32" sqref="M32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3" t="s">
        <v>16</v>
      </c>
      <c r="B1" s="134"/>
      <c r="C1" s="134"/>
      <c r="D1" s="12" t="s">
        <v>17</v>
      </c>
      <c r="E1" s="12" t="s">
        <v>18</v>
      </c>
      <c r="F1" s="134" t="s">
        <v>19</v>
      </c>
      <c r="G1" s="134"/>
      <c r="H1" s="134"/>
      <c r="I1" s="134"/>
      <c r="J1" s="134"/>
      <c r="K1" s="135"/>
      <c r="L1" s="12" t="s">
        <v>85</v>
      </c>
    </row>
    <row r="2" spans="1:13" ht="15" customHeight="1">
      <c r="A2" s="94" t="s">
        <v>192</v>
      </c>
      <c r="B2" s="18" t="s">
        <v>29</v>
      </c>
      <c r="C2" s="18"/>
      <c r="D2" s="37">
        <v>34.5</v>
      </c>
      <c r="E2" s="18">
        <f ca="1">ROUND(RAND()*6+1,0)</f>
        <v>7</v>
      </c>
      <c r="F2" s="17" t="s">
        <v>20</v>
      </c>
      <c r="G2" s="18">
        <v>15</v>
      </c>
      <c r="H2" s="18" t="s">
        <v>21</v>
      </c>
      <c r="I2" s="18">
        <f ca="1">YEAR(TODAY())</f>
        <v>2025</v>
      </c>
      <c r="J2" s="19">
        <v>0.84760416666666671</v>
      </c>
      <c r="K2" s="18" t="s">
        <v>22</v>
      </c>
      <c r="L2" s="38"/>
    </row>
    <row r="3" spans="1:13" ht="15" customHeight="1">
      <c r="A3" s="95" t="s">
        <v>193</v>
      </c>
      <c r="B3" s="14" t="s">
        <v>30</v>
      </c>
      <c r="C3" s="14"/>
      <c r="D3" s="39">
        <v>34.5</v>
      </c>
      <c r="E3" s="14">
        <f t="shared" ref="E3:E26" ca="1" si="0">ROUND(RAND()*6+1,0)</f>
        <v>6</v>
      </c>
      <c r="F3" s="20" t="s">
        <v>23</v>
      </c>
      <c r="G3" s="14">
        <v>16</v>
      </c>
      <c r="H3" s="14" t="s">
        <v>21</v>
      </c>
      <c r="I3" s="14">
        <f t="shared" ref="I3:I26" ca="1" si="1">YEAR(TODAY())</f>
        <v>2025</v>
      </c>
      <c r="J3" s="15">
        <v>0.43560185185185185</v>
      </c>
      <c r="K3" s="14" t="s">
        <v>22</v>
      </c>
      <c r="L3" s="40"/>
    </row>
    <row r="4" spans="1:13" ht="15" customHeight="1">
      <c r="A4" s="95" t="s">
        <v>194</v>
      </c>
      <c r="B4" s="14" t="s">
        <v>31</v>
      </c>
      <c r="C4" s="14"/>
      <c r="D4" s="39">
        <v>34.5</v>
      </c>
      <c r="E4" s="14">
        <f t="shared" ca="1" si="0"/>
        <v>1</v>
      </c>
      <c r="F4" s="20" t="s">
        <v>23</v>
      </c>
      <c r="G4" s="14">
        <v>16</v>
      </c>
      <c r="H4" s="14" t="s">
        <v>21</v>
      </c>
      <c r="I4" s="14">
        <f t="shared" ca="1" si="1"/>
        <v>2025</v>
      </c>
      <c r="J4" s="15">
        <v>0.54060185185185183</v>
      </c>
      <c r="K4" s="14" t="s">
        <v>22</v>
      </c>
      <c r="L4" s="40"/>
    </row>
    <row r="5" spans="1:13" ht="15" customHeight="1">
      <c r="A5" s="95" t="s">
        <v>195</v>
      </c>
      <c r="B5" s="14" t="s">
        <v>32</v>
      </c>
      <c r="C5" s="14"/>
      <c r="D5" s="39">
        <v>34.5</v>
      </c>
      <c r="E5" s="14">
        <f t="shared" ca="1" si="0"/>
        <v>1</v>
      </c>
      <c r="F5" s="20" t="s">
        <v>23</v>
      </c>
      <c r="G5" s="14">
        <v>16</v>
      </c>
      <c r="H5" s="14" t="s">
        <v>21</v>
      </c>
      <c r="I5" s="14">
        <f t="shared" ca="1" si="1"/>
        <v>2025</v>
      </c>
      <c r="J5" s="15">
        <v>0.57446759259259261</v>
      </c>
      <c r="K5" s="14" t="s">
        <v>22</v>
      </c>
      <c r="L5" s="40"/>
    </row>
    <row r="6" spans="1:13" ht="15" customHeight="1">
      <c r="A6" s="95" t="s">
        <v>196</v>
      </c>
      <c r="B6" s="14" t="s">
        <v>33</v>
      </c>
      <c r="C6" s="14"/>
      <c r="D6" s="39">
        <v>34.5</v>
      </c>
      <c r="E6" s="14">
        <f t="shared" ca="1" si="0"/>
        <v>4</v>
      </c>
      <c r="F6" s="20" t="s">
        <v>23</v>
      </c>
      <c r="G6" s="14">
        <v>16</v>
      </c>
      <c r="H6" s="14" t="s">
        <v>21</v>
      </c>
      <c r="I6" s="14">
        <f t="shared" ca="1" si="1"/>
        <v>2025</v>
      </c>
      <c r="J6" s="15">
        <v>0.92752314814814818</v>
      </c>
      <c r="K6" s="14" t="s">
        <v>22</v>
      </c>
      <c r="L6" s="40"/>
    </row>
    <row r="7" spans="1:13" ht="15" customHeight="1">
      <c r="A7" s="95" t="s">
        <v>197</v>
      </c>
      <c r="B7" s="14" t="s">
        <v>34</v>
      </c>
      <c r="C7" s="14"/>
      <c r="D7" s="39">
        <v>34.5</v>
      </c>
      <c r="E7" s="14">
        <f t="shared" ca="1" si="0"/>
        <v>2</v>
      </c>
      <c r="F7" s="20" t="s">
        <v>24</v>
      </c>
      <c r="G7" s="14">
        <v>17</v>
      </c>
      <c r="H7" s="14" t="s">
        <v>21</v>
      </c>
      <c r="I7" s="14">
        <f t="shared" ca="1" si="1"/>
        <v>2025</v>
      </c>
      <c r="J7" s="15">
        <v>0.5131134259259259</v>
      </c>
      <c r="K7" s="14" t="s">
        <v>22</v>
      </c>
      <c r="L7" s="40"/>
    </row>
    <row r="8" spans="1:13" ht="15" customHeight="1">
      <c r="A8" s="95" t="s">
        <v>198</v>
      </c>
      <c r="B8" s="14" t="s">
        <v>35</v>
      </c>
      <c r="C8" s="14"/>
      <c r="D8" s="39">
        <v>34.5</v>
      </c>
      <c r="E8" s="14">
        <f t="shared" ca="1" si="0"/>
        <v>4</v>
      </c>
      <c r="F8" s="20" t="s">
        <v>24</v>
      </c>
      <c r="G8" s="14">
        <v>17</v>
      </c>
      <c r="H8" s="14" t="s">
        <v>21</v>
      </c>
      <c r="I8" s="14">
        <f t="shared" ca="1" si="1"/>
        <v>2025</v>
      </c>
      <c r="J8" s="15">
        <v>0.52156250000000004</v>
      </c>
      <c r="K8" s="14" t="s">
        <v>22</v>
      </c>
      <c r="L8" s="40"/>
    </row>
    <row r="9" spans="1:13" ht="15" customHeight="1">
      <c r="A9" s="95" t="s">
        <v>199</v>
      </c>
      <c r="B9" s="14" t="s">
        <v>36</v>
      </c>
      <c r="C9" s="14"/>
      <c r="D9" s="39">
        <v>34.5</v>
      </c>
      <c r="E9" s="14">
        <f t="shared" ca="1" si="0"/>
        <v>6</v>
      </c>
      <c r="F9" s="20" t="s">
        <v>24</v>
      </c>
      <c r="G9" s="14">
        <v>17</v>
      </c>
      <c r="H9" s="14" t="s">
        <v>21</v>
      </c>
      <c r="I9" s="14">
        <f t="shared" ca="1" si="1"/>
        <v>2025</v>
      </c>
      <c r="J9" s="15">
        <v>0.59075231481481483</v>
      </c>
      <c r="K9" s="14" t="s">
        <v>22</v>
      </c>
      <c r="L9" s="40"/>
    </row>
    <row r="10" spans="1:13" ht="15" customHeight="1">
      <c r="A10" s="95" t="s">
        <v>200</v>
      </c>
      <c r="B10" s="14" t="s">
        <v>37</v>
      </c>
      <c r="C10" s="14"/>
      <c r="D10" s="39">
        <v>34.5</v>
      </c>
      <c r="E10" s="14">
        <f t="shared" ca="1" si="0"/>
        <v>2</v>
      </c>
      <c r="F10" s="20" t="s">
        <v>25</v>
      </c>
      <c r="G10" s="14">
        <v>18</v>
      </c>
      <c r="H10" s="14" t="s">
        <v>21</v>
      </c>
      <c r="I10" s="14">
        <f t="shared" ca="1" si="1"/>
        <v>2025</v>
      </c>
      <c r="J10" s="15">
        <v>0.66196759259259264</v>
      </c>
      <c r="K10" s="14" t="s">
        <v>22</v>
      </c>
      <c r="L10" s="40"/>
    </row>
    <row r="11" spans="1:13" ht="15" customHeight="1">
      <c r="A11" s="95" t="s">
        <v>201</v>
      </c>
      <c r="B11" s="14" t="s">
        <v>38</v>
      </c>
      <c r="C11" s="14"/>
      <c r="D11" s="39">
        <v>34.5</v>
      </c>
      <c r="E11" s="14">
        <f t="shared" ca="1" si="0"/>
        <v>5</v>
      </c>
      <c r="F11" s="20" t="s">
        <v>25</v>
      </c>
      <c r="G11" s="14">
        <v>18</v>
      </c>
      <c r="H11" s="14" t="s">
        <v>21</v>
      </c>
      <c r="I11" s="14">
        <f t="shared" ca="1" si="1"/>
        <v>2025</v>
      </c>
      <c r="J11" s="15">
        <v>0.68164351851851857</v>
      </c>
      <c r="K11" s="14" t="s">
        <v>22</v>
      </c>
      <c r="L11" s="40"/>
    </row>
    <row r="12" spans="1:13" ht="15" customHeight="1">
      <c r="A12" s="95" t="s">
        <v>202</v>
      </c>
      <c r="B12" s="14" t="s">
        <v>38</v>
      </c>
      <c r="C12" s="14"/>
      <c r="D12" s="39">
        <v>34.5</v>
      </c>
      <c r="E12" s="14">
        <f t="shared" ca="1" si="0"/>
        <v>3</v>
      </c>
      <c r="F12" s="20" t="s">
        <v>26</v>
      </c>
      <c r="G12" s="14">
        <v>19</v>
      </c>
      <c r="H12" s="14" t="s">
        <v>21</v>
      </c>
      <c r="I12" s="14">
        <f t="shared" ca="1" si="1"/>
        <v>2025</v>
      </c>
      <c r="J12" s="15">
        <v>0.7839814814814815</v>
      </c>
      <c r="K12" s="14" t="s">
        <v>22</v>
      </c>
      <c r="L12" s="40"/>
    </row>
    <row r="13" spans="1:13" ht="15" customHeight="1">
      <c r="A13" s="95" t="s">
        <v>203</v>
      </c>
      <c r="B13" s="14" t="s">
        <v>39</v>
      </c>
      <c r="C13" s="14"/>
      <c r="D13" s="39">
        <v>34.5</v>
      </c>
      <c r="E13" s="14">
        <f t="shared" ca="1" si="0"/>
        <v>2</v>
      </c>
      <c r="F13" s="20" t="s">
        <v>27</v>
      </c>
      <c r="G13" s="14">
        <v>20</v>
      </c>
      <c r="H13" s="14" t="s">
        <v>21</v>
      </c>
      <c r="I13" s="14">
        <f t="shared" ca="1" si="1"/>
        <v>2025</v>
      </c>
      <c r="J13" s="15">
        <v>0.71112268518518518</v>
      </c>
      <c r="K13" s="14" t="s">
        <v>22</v>
      </c>
      <c r="L13" s="40"/>
    </row>
    <row r="14" spans="1:13" ht="15" customHeight="1">
      <c r="A14" s="95" t="s">
        <v>204</v>
      </c>
      <c r="B14" s="14" t="s">
        <v>40</v>
      </c>
      <c r="C14" s="14"/>
      <c r="D14" s="39">
        <v>34.5</v>
      </c>
      <c r="E14" s="14">
        <f t="shared" ca="1" si="0"/>
        <v>2</v>
      </c>
      <c r="F14" s="20" t="s">
        <v>28</v>
      </c>
      <c r="G14" s="14">
        <v>21</v>
      </c>
      <c r="H14" s="14" t="s">
        <v>21</v>
      </c>
      <c r="I14" s="14">
        <f t="shared" ca="1" si="1"/>
        <v>2025</v>
      </c>
      <c r="J14" s="15">
        <v>0.3203125</v>
      </c>
      <c r="K14" s="14" t="s">
        <v>22</v>
      </c>
      <c r="L14" s="40"/>
    </row>
    <row r="15" spans="1:13" ht="15" customHeight="1">
      <c r="A15" s="95" t="s">
        <v>205</v>
      </c>
      <c r="B15" s="14" t="s">
        <v>41</v>
      </c>
      <c r="C15" s="14"/>
      <c r="D15" s="39">
        <v>34.5</v>
      </c>
      <c r="E15" s="14">
        <f t="shared" ca="1" si="0"/>
        <v>4</v>
      </c>
      <c r="F15" s="20" t="s">
        <v>28</v>
      </c>
      <c r="G15" s="14">
        <v>21</v>
      </c>
      <c r="H15" s="14" t="s">
        <v>21</v>
      </c>
      <c r="I15" s="14">
        <f t="shared" ca="1" si="1"/>
        <v>2025</v>
      </c>
      <c r="J15" s="15">
        <v>0.73304398148148142</v>
      </c>
      <c r="K15" s="14" t="s">
        <v>22</v>
      </c>
      <c r="L15" s="40"/>
    </row>
    <row r="16" spans="1:13" ht="15" customHeight="1">
      <c r="A16" s="95" t="s">
        <v>206</v>
      </c>
      <c r="B16" s="14" t="s">
        <v>42</v>
      </c>
      <c r="C16" s="14"/>
      <c r="D16" s="39">
        <v>34.5</v>
      </c>
      <c r="E16" s="14">
        <f t="shared" ca="1" si="0"/>
        <v>6</v>
      </c>
      <c r="F16" s="20" t="s">
        <v>23</v>
      </c>
      <c r="G16" s="14">
        <v>23</v>
      </c>
      <c r="H16" s="14" t="s">
        <v>21</v>
      </c>
      <c r="I16" s="14">
        <f t="shared" ca="1" si="1"/>
        <v>2025</v>
      </c>
      <c r="J16" s="15">
        <v>0.45883101851851849</v>
      </c>
      <c r="K16" s="14" t="s">
        <v>22</v>
      </c>
      <c r="L16" s="40"/>
      <c r="M16" s="41"/>
    </row>
    <row r="17" spans="1:13" ht="15" customHeight="1">
      <c r="A17" s="95" t="s">
        <v>207</v>
      </c>
      <c r="B17" s="14" t="s">
        <v>43</v>
      </c>
      <c r="C17" s="14"/>
      <c r="D17" s="39">
        <v>34.5</v>
      </c>
      <c r="E17" s="14">
        <f t="shared" ca="1" si="0"/>
        <v>5</v>
      </c>
      <c r="F17" s="20" t="s">
        <v>23</v>
      </c>
      <c r="G17" s="14">
        <v>23</v>
      </c>
      <c r="H17" s="14" t="s">
        <v>21</v>
      </c>
      <c r="I17" s="14">
        <f t="shared" ca="1" si="1"/>
        <v>2025</v>
      </c>
      <c r="J17" s="15">
        <v>0.92083333333333339</v>
      </c>
      <c r="K17" s="14" t="s">
        <v>22</v>
      </c>
      <c r="L17" s="40"/>
      <c r="M17" s="41"/>
    </row>
    <row r="18" spans="1:13" ht="15" customHeight="1">
      <c r="A18" s="95" t="s">
        <v>208</v>
      </c>
      <c r="B18" s="14" t="s">
        <v>44</v>
      </c>
      <c r="C18" s="14"/>
      <c r="D18" s="39">
        <v>34.5</v>
      </c>
      <c r="E18" s="14">
        <f t="shared" ca="1" si="0"/>
        <v>5</v>
      </c>
      <c r="F18" s="20" t="s">
        <v>24</v>
      </c>
      <c r="G18" s="14">
        <v>24</v>
      </c>
      <c r="H18" s="14" t="s">
        <v>21</v>
      </c>
      <c r="I18" s="14">
        <f t="shared" ca="1" si="1"/>
        <v>2025</v>
      </c>
      <c r="J18" s="15">
        <v>0.83994212962962955</v>
      </c>
      <c r="K18" s="14" t="s">
        <v>22</v>
      </c>
      <c r="L18" s="40"/>
      <c r="M18" s="41"/>
    </row>
    <row r="19" spans="1:13" ht="15" customHeight="1">
      <c r="A19" s="95" t="s">
        <v>209</v>
      </c>
      <c r="B19" s="14" t="s">
        <v>45</v>
      </c>
      <c r="C19" s="14"/>
      <c r="D19" s="39">
        <v>34.5</v>
      </c>
      <c r="E19" s="14">
        <f t="shared" ca="1" si="0"/>
        <v>3</v>
      </c>
      <c r="F19" s="20" t="s">
        <v>24</v>
      </c>
      <c r="G19" s="14">
        <v>24</v>
      </c>
      <c r="H19" s="14" t="s">
        <v>21</v>
      </c>
      <c r="I19" s="14">
        <f t="shared" ca="1" si="1"/>
        <v>2025</v>
      </c>
      <c r="J19" s="15">
        <v>0.93158564814814815</v>
      </c>
      <c r="K19" s="14" t="s">
        <v>22</v>
      </c>
      <c r="L19" s="40"/>
      <c r="M19" s="41"/>
    </row>
    <row r="20" spans="1:13" ht="15" customHeight="1">
      <c r="A20" s="95" t="s">
        <v>210</v>
      </c>
      <c r="B20" s="14" t="s">
        <v>46</v>
      </c>
      <c r="C20" s="14"/>
      <c r="D20" s="39">
        <v>34.5</v>
      </c>
      <c r="E20" s="14">
        <f t="shared" ca="1" si="0"/>
        <v>3</v>
      </c>
      <c r="F20" s="20" t="s">
        <v>25</v>
      </c>
      <c r="G20" s="14">
        <v>25</v>
      </c>
      <c r="H20" s="14" t="s">
        <v>21</v>
      </c>
      <c r="I20" s="14">
        <f t="shared" ca="1" si="1"/>
        <v>2025</v>
      </c>
      <c r="J20" s="15">
        <v>0.95686342592592588</v>
      </c>
      <c r="K20" s="14" t="s">
        <v>22</v>
      </c>
      <c r="L20" s="40"/>
      <c r="M20" s="41"/>
    </row>
    <row r="21" spans="1:13" ht="15" customHeight="1">
      <c r="A21" s="95" t="s">
        <v>211</v>
      </c>
      <c r="B21" s="14" t="s">
        <v>47</v>
      </c>
      <c r="C21" s="14"/>
      <c r="D21" s="39">
        <v>34.5</v>
      </c>
      <c r="E21" s="14">
        <f t="shared" ca="1" si="0"/>
        <v>1</v>
      </c>
      <c r="F21" s="20" t="s">
        <v>26</v>
      </c>
      <c r="G21" s="14">
        <v>26</v>
      </c>
      <c r="H21" s="14" t="s">
        <v>21</v>
      </c>
      <c r="I21" s="14">
        <f t="shared" ca="1" si="1"/>
        <v>2025</v>
      </c>
      <c r="J21" s="15">
        <v>0.42584490740740738</v>
      </c>
      <c r="K21" s="14" t="s">
        <v>22</v>
      </c>
      <c r="L21" s="40"/>
      <c r="M21" s="41"/>
    </row>
    <row r="22" spans="1:13" ht="15" customHeight="1">
      <c r="A22" s="95" t="s">
        <v>212</v>
      </c>
      <c r="B22" s="14" t="s">
        <v>48</v>
      </c>
      <c r="C22" s="14"/>
      <c r="D22" s="39">
        <v>34.5</v>
      </c>
      <c r="E22" s="14">
        <f t="shared" ca="1" si="0"/>
        <v>4</v>
      </c>
      <c r="F22" s="20" t="s">
        <v>26</v>
      </c>
      <c r="G22" s="14">
        <v>26</v>
      </c>
      <c r="H22" s="14" t="s">
        <v>21</v>
      </c>
      <c r="I22" s="14">
        <f t="shared" ca="1" si="1"/>
        <v>2025</v>
      </c>
      <c r="J22" s="15">
        <v>0.53960648148148149</v>
      </c>
      <c r="K22" s="14" t="s">
        <v>22</v>
      </c>
      <c r="L22" s="40"/>
    </row>
    <row r="23" spans="1:13" ht="15" customHeight="1">
      <c r="A23" s="95" t="s">
        <v>213</v>
      </c>
      <c r="B23" s="14" t="s">
        <v>49</v>
      </c>
      <c r="C23" s="14"/>
      <c r="D23" s="39">
        <v>34.5</v>
      </c>
      <c r="E23" s="14">
        <f t="shared" ca="1" si="0"/>
        <v>2</v>
      </c>
      <c r="F23" s="20" t="s">
        <v>26</v>
      </c>
      <c r="G23" s="14">
        <v>26</v>
      </c>
      <c r="H23" s="14" t="s">
        <v>21</v>
      </c>
      <c r="I23" s="14">
        <f t="shared" ca="1" si="1"/>
        <v>2025</v>
      </c>
      <c r="J23" s="15">
        <v>0.58559027777777783</v>
      </c>
      <c r="K23" s="14" t="s">
        <v>22</v>
      </c>
      <c r="L23" s="40"/>
    </row>
    <row r="24" spans="1:13" ht="15" customHeight="1">
      <c r="A24" s="95" t="s">
        <v>214</v>
      </c>
      <c r="B24" s="14" t="s">
        <v>50</v>
      </c>
      <c r="C24" s="14"/>
      <c r="D24" s="39">
        <v>34.5</v>
      </c>
      <c r="E24" s="14">
        <f t="shared" ca="1" si="0"/>
        <v>6</v>
      </c>
      <c r="F24" s="20" t="s">
        <v>26</v>
      </c>
      <c r="G24" s="14">
        <v>26</v>
      </c>
      <c r="H24" s="14" t="s">
        <v>21</v>
      </c>
      <c r="I24" s="14">
        <f t="shared" ca="1" si="1"/>
        <v>2025</v>
      </c>
      <c r="J24" s="15">
        <v>0.62951388888888882</v>
      </c>
      <c r="K24" s="14" t="s">
        <v>22</v>
      </c>
      <c r="L24" s="40"/>
    </row>
    <row r="25" spans="1:13" ht="15" customHeight="1">
      <c r="A25" s="95" t="s">
        <v>215</v>
      </c>
      <c r="B25" s="14" t="s">
        <v>51</v>
      </c>
      <c r="C25" s="14"/>
      <c r="D25" s="39">
        <v>34.5</v>
      </c>
      <c r="E25" s="14">
        <f t="shared" ca="1" si="0"/>
        <v>4</v>
      </c>
      <c r="F25" s="20" t="s">
        <v>27</v>
      </c>
      <c r="G25" s="14">
        <v>27</v>
      </c>
      <c r="H25" s="14" t="s">
        <v>21</v>
      </c>
      <c r="I25" s="14">
        <f t="shared" ca="1" si="1"/>
        <v>2025</v>
      </c>
      <c r="J25" s="15">
        <v>0.9234837962962964</v>
      </c>
      <c r="K25" s="14" t="s">
        <v>22</v>
      </c>
      <c r="L25" s="40"/>
    </row>
    <row r="26" spans="1:13" ht="15" customHeight="1" thickBot="1">
      <c r="A26" s="96" t="s">
        <v>216</v>
      </c>
      <c r="B26" s="22" t="s">
        <v>52</v>
      </c>
      <c r="C26" s="22"/>
      <c r="D26" s="42">
        <v>34.5</v>
      </c>
      <c r="E26" s="22">
        <f t="shared" ca="1" si="0"/>
        <v>4</v>
      </c>
      <c r="F26" s="21" t="s">
        <v>28</v>
      </c>
      <c r="G26" s="22">
        <v>28</v>
      </c>
      <c r="H26" s="22" t="s">
        <v>21</v>
      </c>
      <c r="I26" s="22">
        <f t="shared" ca="1" si="1"/>
        <v>2025</v>
      </c>
      <c r="J26" s="23">
        <v>0.5770601851851852</v>
      </c>
      <c r="K26" s="22" t="s">
        <v>22</v>
      </c>
      <c r="L26" s="43"/>
    </row>
  </sheetData>
  <customSheetViews>
    <customSheetView guid="{3DF5E802-5CA5-43EF-BE6A-D6FCDA5F65F2}">
      <selection activeCell="M32" sqref="M32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3" t="s">
        <v>16</v>
      </c>
      <c r="B1" s="134"/>
      <c r="C1" s="134"/>
      <c r="D1" s="12" t="s">
        <v>17</v>
      </c>
      <c r="E1" s="12" t="s">
        <v>18</v>
      </c>
      <c r="F1" s="134" t="s">
        <v>19</v>
      </c>
      <c r="G1" s="134"/>
      <c r="H1" s="134"/>
      <c r="I1" s="134"/>
      <c r="J1" s="134"/>
      <c r="K1" s="135"/>
      <c r="L1" s="12" t="s">
        <v>85</v>
      </c>
    </row>
    <row r="2" spans="1:13" ht="15" customHeight="1" thickTop="1">
      <c r="A2" s="94" t="s">
        <v>192</v>
      </c>
      <c r="B2" s="13" t="s">
        <v>29</v>
      </c>
      <c r="C2" s="13"/>
      <c r="D2" s="37">
        <f ca="1">ROUND(RAND()*20+10,1)</f>
        <v>20.100000000000001</v>
      </c>
      <c r="E2" s="13">
        <v>2</v>
      </c>
      <c r="F2" s="17" t="s">
        <v>20</v>
      </c>
      <c r="G2" s="18">
        <v>15</v>
      </c>
      <c r="H2" s="18" t="s">
        <v>21</v>
      </c>
      <c r="I2" s="18">
        <f ca="1">YEAR(TODAY())</f>
        <v>2025</v>
      </c>
      <c r="J2" s="19">
        <v>0.84760416666666671</v>
      </c>
      <c r="K2" s="18" t="s">
        <v>22</v>
      </c>
      <c r="L2" s="38"/>
    </row>
    <row r="3" spans="1:13" ht="15" customHeight="1">
      <c r="A3" s="95" t="s">
        <v>193</v>
      </c>
      <c r="B3" s="14" t="s">
        <v>30</v>
      </c>
      <c r="C3" s="14"/>
      <c r="D3" s="39">
        <f t="shared" ref="D3:D26" ca="1" si="0">ROUND(RAND()*20+10,1)</f>
        <v>10.8</v>
      </c>
      <c r="E3" s="14">
        <v>2</v>
      </c>
      <c r="F3" s="20" t="s">
        <v>23</v>
      </c>
      <c r="G3" s="14">
        <v>16</v>
      </c>
      <c r="H3" s="14" t="s">
        <v>21</v>
      </c>
      <c r="I3" s="14">
        <f t="shared" ref="I3:I26" ca="1" si="1">YEAR(TODAY())</f>
        <v>2025</v>
      </c>
      <c r="J3" s="15">
        <v>0.43560185185185185</v>
      </c>
      <c r="K3" s="14" t="s">
        <v>22</v>
      </c>
      <c r="L3" s="40"/>
    </row>
    <row r="4" spans="1:13" ht="15" customHeight="1">
      <c r="A4" s="95" t="s">
        <v>194</v>
      </c>
      <c r="B4" s="14" t="s">
        <v>31</v>
      </c>
      <c r="C4" s="14"/>
      <c r="D4" s="39">
        <f t="shared" ca="1" si="0"/>
        <v>29.9</v>
      </c>
      <c r="E4" s="14">
        <v>2</v>
      </c>
      <c r="F4" s="20" t="s">
        <v>23</v>
      </c>
      <c r="G4" s="14">
        <v>16</v>
      </c>
      <c r="H4" s="14" t="s">
        <v>21</v>
      </c>
      <c r="I4" s="14">
        <f t="shared" ca="1" si="1"/>
        <v>2025</v>
      </c>
      <c r="J4" s="15">
        <v>0.54060185185185183</v>
      </c>
      <c r="K4" s="14" t="s">
        <v>22</v>
      </c>
      <c r="L4" s="40"/>
    </row>
    <row r="5" spans="1:13" ht="15" customHeight="1">
      <c r="A5" s="95" t="s">
        <v>195</v>
      </c>
      <c r="B5" s="14" t="s">
        <v>32</v>
      </c>
      <c r="C5" s="14"/>
      <c r="D5" s="39">
        <f t="shared" ca="1" si="0"/>
        <v>11.2</v>
      </c>
      <c r="E5" s="14">
        <v>3</v>
      </c>
      <c r="F5" s="20" t="s">
        <v>23</v>
      </c>
      <c r="G5" s="14">
        <v>16</v>
      </c>
      <c r="H5" s="14" t="s">
        <v>21</v>
      </c>
      <c r="I5" s="14">
        <f t="shared" ca="1" si="1"/>
        <v>2025</v>
      </c>
      <c r="J5" s="15">
        <v>0.57446759259259261</v>
      </c>
      <c r="K5" s="14" t="s">
        <v>22</v>
      </c>
      <c r="L5" s="40"/>
    </row>
    <row r="6" spans="1:13" ht="15" customHeight="1">
      <c r="A6" s="95" t="s">
        <v>196</v>
      </c>
      <c r="B6" s="14" t="s">
        <v>33</v>
      </c>
      <c r="C6" s="14"/>
      <c r="D6" s="39">
        <f t="shared" ca="1" si="0"/>
        <v>23.7</v>
      </c>
      <c r="E6" s="14">
        <v>1</v>
      </c>
      <c r="F6" s="20" t="s">
        <v>23</v>
      </c>
      <c r="G6" s="14">
        <v>16</v>
      </c>
      <c r="H6" s="14" t="s">
        <v>21</v>
      </c>
      <c r="I6" s="14">
        <f t="shared" ca="1" si="1"/>
        <v>2025</v>
      </c>
      <c r="J6" s="15">
        <v>0.92752314814814818</v>
      </c>
      <c r="K6" s="14" t="s">
        <v>22</v>
      </c>
      <c r="L6" s="40"/>
    </row>
    <row r="7" spans="1:13" ht="15" customHeight="1">
      <c r="A7" s="95" t="s">
        <v>197</v>
      </c>
      <c r="B7" s="14" t="s">
        <v>34</v>
      </c>
      <c r="C7" s="14"/>
      <c r="D7" s="39">
        <f t="shared" ca="1" si="0"/>
        <v>26.1</v>
      </c>
      <c r="E7" s="14">
        <v>2</v>
      </c>
      <c r="F7" s="20" t="s">
        <v>24</v>
      </c>
      <c r="G7" s="14">
        <v>17</v>
      </c>
      <c r="H7" s="14" t="s">
        <v>21</v>
      </c>
      <c r="I7" s="14">
        <f t="shared" ca="1" si="1"/>
        <v>2025</v>
      </c>
      <c r="J7" s="15">
        <v>0.5131134259259259</v>
      </c>
      <c r="K7" s="14" t="s">
        <v>22</v>
      </c>
      <c r="L7" s="40"/>
    </row>
    <row r="8" spans="1:13" ht="15" customHeight="1">
      <c r="A8" s="95" t="s">
        <v>198</v>
      </c>
      <c r="B8" s="14" t="s">
        <v>35</v>
      </c>
      <c r="C8" s="14"/>
      <c r="D8" s="39">
        <f t="shared" ca="1" si="0"/>
        <v>22.2</v>
      </c>
      <c r="E8" s="14">
        <v>2</v>
      </c>
      <c r="F8" s="20" t="s">
        <v>24</v>
      </c>
      <c r="G8" s="14">
        <v>17</v>
      </c>
      <c r="H8" s="14" t="s">
        <v>21</v>
      </c>
      <c r="I8" s="14">
        <f t="shared" ca="1" si="1"/>
        <v>2025</v>
      </c>
      <c r="J8" s="15">
        <v>0.52156250000000004</v>
      </c>
      <c r="K8" s="14" t="s">
        <v>22</v>
      </c>
      <c r="L8" s="40"/>
    </row>
    <row r="9" spans="1:13" ht="15" customHeight="1">
      <c r="A9" s="95" t="s">
        <v>199</v>
      </c>
      <c r="B9" s="14" t="s">
        <v>36</v>
      </c>
      <c r="C9" s="14"/>
      <c r="D9" s="39">
        <f t="shared" ca="1" si="0"/>
        <v>28.3</v>
      </c>
      <c r="E9" s="14">
        <v>1</v>
      </c>
      <c r="F9" s="20" t="s">
        <v>24</v>
      </c>
      <c r="G9" s="14">
        <v>17</v>
      </c>
      <c r="H9" s="14" t="s">
        <v>21</v>
      </c>
      <c r="I9" s="14">
        <f t="shared" ca="1" si="1"/>
        <v>2025</v>
      </c>
      <c r="J9" s="15">
        <v>0.59075231481481483</v>
      </c>
      <c r="K9" s="14" t="s">
        <v>22</v>
      </c>
      <c r="L9" s="40"/>
    </row>
    <row r="10" spans="1:13" ht="15" customHeight="1">
      <c r="A10" s="95" t="s">
        <v>200</v>
      </c>
      <c r="B10" s="14" t="s">
        <v>37</v>
      </c>
      <c r="C10" s="14"/>
      <c r="D10" s="39">
        <f t="shared" ca="1" si="0"/>
        <v>14.9</v>
      </c>
      <c r="E10" s="14">
        <v>1</v>
      </c>
      <c r="F10" s="20" t="s">
        <v>25</v>
      </c>
      <c r="G10" s="14">
        <v>18</v>
      </c>
      <c r="H10" s="14" t="s">
        <v>21</v>
      </c>
      <c r="I10" s="14">
        <f t="shared" ca="1" si="1"/>
        <v>2025</v>
      </c>
      <c r="J10" s="15">
        <v>0.66196759259259264</v>
      </c>
      <c r="K10" s="14" t="s">
        <v>22</v>
      </c>
      <c r="L10" s="40"/>
    </row>
    <row r="11" spans="1:13" ht="15" customHeight="1">
      <c r="A11" s="95" t="s">
        <v>201</v>
      </c>
      <c r="B11" s="14" t="s">
        <v>38</v>
      </c>
      <c r="C11" s="14"/>
      <c r="D11" s="39">
        <f t="shared" ca="1" si="0"/>
        <v>11.1</v>
      </c>
      <c r="E11" s="14">
        <v>1</v>
      </c>
      <c r="F11" s="20" t="s">
        <v>25</v>
      </c>
      <c r="G11" s="14">
        <v>18</v>
      </c>
      <c r="H11" s="14" t="s">
        <v>21</v>
      </c>
      <c r="I11" s="14">
        <f t="shared" ca="1" si="1"/>
        <v>2025</v>
      </c>
      <c r="J11" s="15">
        <v>0.68164351851851857</v>
      </c>
      <c r="K11" s="14" t="s">
        <v>22</v>
      </c>
      <c r="L11" s="40"/>
    </row>
    <row r="12" spans="1:13" ht="15" customHeight="1">
      <c r="A12" s="95" t="s">
        <v>202</v>
      </c>
      <c r="B12" s="14" t="s">
        <v>38</v>
      </c>
      <c r="C12" s="14"/>
      <c r="D12" s="39">
        <f t="shared" ca="1" si="0"/>
        <v>13.6</v>
      </c>
      <c r="E12" s="14">
        <v>1</v>
      </c>
      <c r="F12" s="20" t="s">
        <v>26</v>
      </c>
      <c r="G12" s="14">
        <v>19</v>
      </c>
      <c r="H12" s="14" t="s">
        <v>21</v>
      </c>
      <c r="I12" s="14">
        <f t="shared" ca="1" si="1"/>
        <v>2025</v>
      </c>
      <c r="J12" s="15">
        <v>0.7839814814814815</v>
      </c>
      <c r="K12" s="14" t="s">
        <v>22</v>
      </c>
      <c r="L12" s="40"/>
    </row>
    <row r="13" spans="1:13" ht="15" customHeight="1">
      <c r="A13" s="95" t="s">
        <v>203</v>
      </c>
      <c r="B13" s="14" t="s">
        <v>39</v>
      </c>
      <c r="C13" s="14"/>
      <c r="D13" s="39">
        <f t="shared" ca="1" si="0"/>
        <v>23.7</v>
      </c>
      <c r="E13" s="14">
        <v>2</v>
      </c>
      <c r="F13" s="20" t="s">
        <v>27</v>
      </c>
      <c r="G13" s="14">
        <v>20</v>
      </c>
      <c r="H13" s="14" t="s">
        <v>21</v>
      </c>
      <c r="I13" s="14">
        <f t="shared" ca="1" si="1"/>
        <v>2025</v>
      </c>
      <c r="J13" s="15">
        <v>0.71112268518518518</v>
      </c>
      <c r="K13" s="14" t="s">
        <v>22</v>
      </c>
      <c r="L13" s="40"/>
    </row>
    <row r="14" spans="1:13" ht="15" customHeight="1">
      <c r="A14" s="95" t="s">
        <v>204</v>
      </c>
      <c r="B14" s="14" t="s">
        <v>40</v>
      </c>
      <c r="C14" s="14"/>
      <c r="D14" s="39">
        <f t="shared" ca="1" si="0"/>
        <v>29.5</v>
      </c>
      <c r="E14" s="14">
        <v>1</v>
      </c>
      <c r="F14" s="20" t="s">
        <v>28</v>
      </c>
      <c r="G14" s="14">
        <v>21</v>
      </c>
      <c r="H14" s="14" t="s">
        <v>21</v>
      </c>
      <c r="I14" s="14">
        <f t="shared" ca="1" si="1"/>
        <v>2025</v>
      </c>
      <c r="J14" s="15">
        <v>0.3203125</v>
      </c>
      <c r="K14" s="14" t="s">
        <v>22</v>
      </c>
      <c r="L14" s="40"/>
    </row>
    <row r="15" spans="1:13" ht="15" customHeight="1">
      <c r="A15" s="95" t="s">
        <v>205</v>
      </c>
      <c r="B15" s="14" t="s">
        <v>41</v>
      </c>
      <c r="C15" s="14"/>
      <c r="D15" s="39">
        <f t="shared" ca="1" si="0"/>
        <v>19.7</v>
      </c>
      <c r="E15" s="14">
        <v>2</v>
      </c>
      <c r="F15" s="20" t="s">
        <v>28</v>
      </c>
      <c r="G15" s="14">
        <v>21</v>
      </c>
      <c r="H15" s="14" t="s">
        <v>21</v>
      </c>
      <c r="I15" s="14">
        <f t="shared" ca="1" si="1"/>
        <v>2025</v>
      </c>
      <c r="J15" s="15">
        <v>0.73304398148148142</v>
      </c>
      <c r="K15" s="14" t="s">
        <v>22</v>
      </c>
      <c r="L15" s="40"/>
    </row>
    <row r="16" spans="1:13" ht="15" customHeight="1">
      <c r="A16" s="95" t="s">
        <v>206</v>
      </c>
      <c r="B16" s="14" t="s">
        <v>42</v>
      </c>
      <c r="C16" s="14"/>
      <c r="D16" s="39">
        <f t="shared" ca="1" si="0"/>
        <v>10.6</v>
      </c>
      <c r="E16" s="14">
        <v>1</v>
      </c>
      <c r="F16" s="20" t="s">
        <v>23</v>
      </c>
      <c r="G16" s="14">
        <v>23</v>
      </c>
      <c r="H16" s="14" t="s">
        <v>21</v>
      </c>
      <c r="I16" s="14">
        <f t="shared" ca="1" si="1"/>
        <v>2025</v>
      </c>
      <c r="J16" s="15">
        <v>0.45883101851851849</v>
      </c>
      <c r="K16" s="14" t="s">
        <v>22</v>
      </c>
      <c r="L16" s="40"/>
      <c r="M16" s="41"/>
    </row>
    <row r="17" spans="1:13" ht="15" customHeight="1">
      <c r="A17" s="95" t="s">
        <v>207</v>
      </c>
      <c r="B17" s="14" t="s">
        <v>43</v>
      </c>
      <c r="C17" s="14"/>
      <c r="D17" s="39">
        <f t="shared" ca="1" si="0"/>
        <v>15.1</v>
      </c>
      <c r="E17" s="14">
        <v>1</v>
      </c>
      <c r="F17" s="20" t="s">
        <v>23</v>
      </c>
      <c r="G17" s="14">
        <v>23</v>
      </c>
      <c r="H17" s="14" t="s">
        <v>21</v>
      </c>
      <c r="I17" s="14">
        <f t="shared" ca="1" si="1"/>
        <v>2025</v>
      </c>
      <c r="J17" s="15">
        <v>0.92083333333333339</v>
      </c>
      <c r="K17" s="14" t="s">
        <v>22</v>
      </c>
      <c r="L17" s="40"/>
      <c r="M17" s="41"/>
    </row>
    <row r="18" spans="1:13" ht="15" customHeight="1">
      <c r="A18" s="95" t="s">
        <v>208</v>
      </c>
      <c r="B18" s="14" t="s">
        <v>44</v>
      </c>
      <c r="C18" s="14"/>
      <c r="D18" s="39">
        <f t="shared" ca="1" si="0"/>
        <v>27.6</v>
      </c>
      <c r="E18" s="14">
        <v>1</v>
      </c>
      <c r="F18" s="20" t="s">
        <v>24</v>
      </c>
      <c r="G18" s="14">
        <v>24</v>
      </c>
      <c r="H18" s="14" t="s">
        <v>21</v>
      </c>
      <c r="I18" s="14">
        <f t="shared" ca="1" si="1"/>
        <v>2025</v>
      </c>
      <c r="J18" s="15">
        <v>0.83994212962962955</v>
      </c>
      <c r="K18" s="14" t="s">
        <v>22</v>
      </c>
      <c r="L18" s="40"/>
      <c r="M18" s="41"/>
    </row>
    <row r="19" spans="1:13" ht="15" customHeight="1">
      <c r="A19" s="95" t="s">
        <v>209</v>
      </c>
      <c r="B19" s="14" t="s">
        <v>45</v>
      </c>
      <c r="C19" s="14"/>
      <c r="D19" s="39">
        <f t="shared" ca="1" si="0"/>
        <v>26.8</v>
      </c>
      <c r="E19" s="14">
        <v>2</v>
      </c>
      <c r="F19" s="20" t="s">
        <v>24</v>
      </c>
      <c r="G19" s="14">
        <v>24</v>
      </c>
      <c r="H19" s="14" t="s">
        <v>21</v>
      </c>
      <c r="I19" s="14">
        <f t="shared" ca="1" si="1"/>
        <v>2025</v>
      </c>
      <c r="J19" s="15">
        <v>0.93158564814814815</v>
      </c>
      <c r="K19" s="14" t="s">
        <v>22</v>
      </c>
      <c r="L19" s="40"/>
      <c r="M19" s="41"/>
    </row>
    <row r="20" spans="1:13" ht="15" customHeight="1">
      <c r="A20" s="95" t="s">
        <v>210</v>
      </c>
      <c r="B20" s="14" t="s">
        <v>46</v>
      </c>
      <c r="C20" s="14"/>
      <c r="D20" s="39">
        <f t="shared" ca="1" si="0"/>
        <v>10.5</v>
      </c>
      <c r="E20" s="14">
        <v>1</v>
      </c>
      <c r="F20" s="20" t="s">
        <v>25</v>
      </c>
      <c r="G20" s="14">
        <v>25</v>
      </c>
      <c r="H20" s="14" t="s">
        <v>21</v>
      </c>
      <c r="I20" s="14">
        <f t="shared" ca="1" si="1"/>
        <v>2025</v>
      </c>
      <c r="J20" s="15">
        <v>0.95686342592592588</v>
      </c>
      <c r="K20" s="14" t="s">
        <v>22</v>
      </c>
      <c r="L20" s="40"/>
      <c r="M20" s="41"/>
    </row>
    <row r="21" spans="1:13" ht="15" customHeight="1">
      <c r="A21" s="95" t="s">
        <v>211</v>
      </c>
      <c r="B21" s="14" t="s">
        <v>47</v>
      </c>
      <c r="C21" s="14"/>
      <c r="D21" s="39">
        <f t="shared" ca="1" si="0"/>
        <v>14.5</v>
      </c>
      <c r="E21" s="14">
        <v>1</v>
      </c>
      <c r="F21" s="20" t="s">
        <v>26</v>
      </c>
      <c r="G21" s="14">
        <v>26</v>
      </c>
      <c r="H21" s="14" t="s">
        <v>21</v>
      </c>
      <c r="I21" s="14">
        <f t="shared" ca="1" si="1"/>
        <v>2025</v>
      </c>
      <c r="J21" s="15">
        <v>0.42584490740740738</v>
      </c>
      <c r="K21" s="14" t="s">
        <v>22</v>
      </c>
      <c r="L21" s="40"/>
      <c r="M21" s="41"/>
    </row>
    <row r="22" spans="1:13" ht="15" customHeight="1">
      <c r="A22" s="95" t="s">
        <v>212</v>
      </c>
      <c r="B22" s="14" t="s">
        <v>48</v>
      </c>
      <c r="C22" s="14"/>
      <c r="D22" s="39">
        <f t="shared" ca="1" si="0"/>
        <v>21.3</v>
      </c>
      <c r="E22" s="14">
        <v>2</v>
      </c>
      <c r="F22" s="20" t="s">
        <v>26</v>
      </c>
      <c r="G22" s="14">
        <v>26</v>
      </c>
      <c r="H22" s="14" t="s">
        <v>21</v>
      </c>
      <c r="I22" s="14">
        <f t="shared" ca="1" si="1"/>
        <v>2025</v>
      </c>
      <c r="J22" s="15">
        <v>0.53960648148148149</v>
      </c>
      <c r="K22" s="14" t="s">
        <v>22</v>
      </c>
      <c r="L22" s="40"/>
    </row>
    <row r="23" spans="1:13" ht="15" customHeight="1">
      <c r="A23" s="95" t="s">
        <v>213</v>
      </c>
      <c r="B23" s="14" t="s">
        <v>49</v>
      </c>
      <c r="C23" s="14"/>
      <c r="D23" s="39">
        <f t="shared" ca="1" si="0"/>
        <v>29.3</v>
      </c>
      <c r="E23" s="14">
        <v>1</v>
      </c>
      <c r="F23" s="20" t="s">
        <v>26</v>
      </c>
      <c r="G23" s="14">
        <v>26</v>
      </c>
      <c r="H23" s="14" t="s">
        <v>21</v>
      </c>
      <c r="I23" s="14">
        <f t="shared" ca="1" si="1"/>
        <v>2025</v>
      </c>
      <c r="J23" s="15">
        <v>0.58559027777777783</v>
      </c>
      <c r="K23" s="14" t="s">
        <v>22</v>
      </c>
      <c r="L23" s="40"/>
    </row>
    <row r="24" spans="1:13" ht="15" customHeight="1">
      <c r="A24" s="95" t="s">
        <v>214</v>
      </c>
      <c r="B24" s="14" t="s">
        <v>50</v>
      </c>
      <c r="C24" s="14"/>
      <c r="D24" s="39">
        <f t="shared" ca="1" si="0"/>
        <v>25.1</v>
      </c>
      <c r="E24" s="14">
        <v>3</v>
      </c>
      <c r="F24" s="20" t="s">
        <v>26</v>
      </c>
      <c r="G24" s="14">
        <v>26</v>
      </c>
      <c r="H24" s="14" t="s">
        <v>21</v>
      </c>
      <c r="I24" s="14">
        <f t="shared" ca="1" si="1"/>
        <v>2025</v>
      </c>
      <c r="J24" s="15">
        <v>0.62951388888888882</v>
      </c>
      <c r="K24" s="14" t="s">
        <v>22</v>
      </c>
      <c r="L24" s="40"/>
    </row>
    <row r="25" spans="1:13" ht="15" customHeight="1">
      <c r="A25" s="95" t="s">
        <v>215</v>
      </c>
      <c r="B25" s="14" t="s">
        <v>51</v>
      </c>
      <c r="C25" s="14"/>
      <c r="D25" s="39">
        <f t="shared" ca="1" si="0"/>
        <v>26.5</v>
      </c>
      <c r="E25" s="14">
        <v>1</v>
      </c>
      <c r="F25" s="20" t="s">
        <v>27</v>
      </c>
      <c r="G25" s="14">
        <v>27</v>
      </c>
      <c r="H25" s="14" t="s">
        <v>21</v>
      </c>
      <c r="I25" s="14">
        <f t="shared" ca="1" si="1"/>
        <v>2025</v>
      </c>
      <c r="J25" s="15">
        <v>0.9234837962962964</v>
      </c>
      <c r="K25" s="14" t="s">
        <v>22</v>
      </c>
      <c r="L25" s="40"/>
    </row>
    <row r="26" spans="1:13" ht="15" customHeight="1" thickBot="1">
      <c r="A26" s="96" t="s">
        <v>216</v>
      </c>
      <c r="B26" s="16" t="s">
        <v>52</v>
      </c>
      <c r="C26" s="16"/>
      <c r="D26" s="42">
        <f t="shared" ca="1" si="0"/>
        <v>10.8</v>
      </c>
      <c r="E26" s="16">
        <v>1</v>
      </c>
      <c r="F26" s="21" t="s">
        <v>28</v>
      </c>
      <c r="G26" s="22">
        <v>28</v>
      </c>
      <c r="H26" s="22" t="s">
        <v>21</v>
      </c>
      <c r="I26" s="22">
        <f t="shared" ca="1" si="1"/>
        <v>2025</v>
      </c>
      <c r="J26" s="23">
        <v>0.5770601851851852</v>
      </c>
      <c r="K26" s="22" t="s">
        <v>22</v>
      </c>
      <c r="L26" s="43"/>
    </row>
  </sheetData>
  <customSheetViews>
    <customSheetView guid="{3DF5E802-5CA5-43EF-BE6A-D6FCDA5F65F2}">
      <selection activeCell="N31" sqref="N31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2" t="s">
        <v>86</v>
      </c>
      <c r="B1" s="60" t="s">
        <v>87</v>
      </c>
      <c r="C1" s="60" t="s">
        <v>88</v>
      </c>
      <c r="D1" s="60" t="s">
        <v>88</v>
      </c>
      <c r="E1" s="60" t="s">
        <v>92</v>
      </c>
      <c r="F1" s="61" t="s">
        <v>93</v>
      </c>
      <c r="R1">
        <v>1</v>
      </c>
      <c r="S1" t="s">
        <v>89</v>
      </c>
    </row>
    <row r="2" spans="1:19" ht="15" customHeight="1">
      <c r="A2" s="55" t="str">
        <f ca="1">"60"&amp;2*ROUND(RAND()*4,0)&amp;ROUND(RAND()*800000+100000,0)</f>
        <v>606737237</v>
      </c>
      <c r="B2" s="56">
        <f ca="1">ROUND(RAND()*200+10,1)</f>
        <v>23.4</v>
      </c>
      <c r="C2" s="57">
        <f ca="1">ROUND(RAND()*2+1,0)</f>
        <v>2</v>
      </c>
      <c r="D2" s="58" t="str">
        <f ca="1">VLOOKUP(C2,$R$1:$S$3,2)</f>
        <v>zdrapka</v>
      </c>
      <c r="E2" s="63">
        <f ca="1">ROUND(RAND()*365+40179,4)</f>
        <v>40406.974300000002</v>
      </c>
      <c r="F2" s="59"/>
      <c r="G2" s="44"/>
      <c r="R2">
        <v>2</v>
      </c>
      <c r="S2" t="s">
        <v>90</v>
      </c>
    </row>
    <row r="3" spans="1:19" ht="15" customHeight="1">
      <c r="A3" s="48" t="str">
        <f t="shared" ref="A3:A51" ca="1" si="0">"60"&amp;2*ROUND(RAND()*4,0)&amp;ROUND(RAND()*800000+100000,0)</f>
        <v>600824254</v>
      </c>
      <c r="B3" s="45">
        <f t="shared" ref="B3:B26" ca="1" si="1">ROUND(RAND()*200+10,1)</f>
        <v>137.69999999999999</v>
      </c>
      <c r="C3" s="46">
        <f t="shared" ref="C3:C26" ca="1" si="2">ROUND(RAND()*2+1,0)</f>
        <v>3</v>
      </c>
      <c r="D3" s="47" t="str">
        <f t="shared" ref="D3:D51" ca="1" si="3">VLOOKUP(C3,$R$1:$S$3,2)</f>
        <v>bankomat</v>
      </c>
      <c r="E3" s="64">
        <f t="shared" ref="E3:E51" ca="1" si="4">ROUND(RAND()*365+40179,4)</f>
        <v>40347.746700000003</v>
      </c>
      <c r="F3" s="49"/>
      <c r="R3">
        <v>3</v>
      </c>
      <c r="S3" t="s">
        <v>91</v>
      </c>
    </row>
    <row r="4" spans="1:19" ht="15" customHeight="1">
      <c r="A4" s="48" t="str">
        <f t="shared" ca="1" si="0"/>
        <v>600734532</v>
      </c>
      <c r="B4" s="45">
        <f t="shared" ca="1" si="1"/>
        <v>69.3</v>
      </c>
      <c r="C4" s="46">
        <f t="shared" ca="1" si="2"/>
        <v>3</v>
      </c>
      <c r="D4" s="47" t="str">
        <f t="shared" ca="1" si="3"/>
        <v>bankomat</v>
      </c>
      <c r="E4" s="64">
        <f t="shared" ca="1" si="4"/>
        <v>40456.742100000003</v>
      </c>
      <c r="F4" s="49"/>
    </row>
    <row r="5" spans="1:19" ht="15" customHeight="1">
      <c r="A5" s="48" t="str">
        <f t="shared" ca="1" si="0"/>
        <v>600855081</v>
      </c>
      <c r="B5" s="45">
        <f t="shared" ca="1" si="1"/>
        <v>157.9</v>
      </c>
      <c r="C5" s="46">
        <f t="shared" ca="1" si="2"/>
        <v>1</v>
      </c>
      <c r="D5" s="47" t="str">
        <f t="shared" ca="1" si="3"/>
        <v>internet</v>
      </c>
      <c r="E5" s="64">
        <f t="shared" ca="1" si="4"/>
        <v>40219.438499999997</v>
      </c>
      <c r="F5" s="49"/>
    </row>
    <row r="6" spans="1:19" ht="15" customHeight="1">
      <c r="A6" s="48" t="str">
        <f t="shared" ca="1" si="0"/>
        <v>604638017</v>
      </c>
      <c r="B6" s="45">
        <f t="shared" ca="1" si="1"/>
        <v>108.4</v>
      </c>
      <c r="C6" s="46">
        <f t="shared" ca="1" si="2"/>
        <v>1</v>
      </c>
      <c r="D6" s="47" t="str">
        <f t="shared" ca="1" si="3"/>
        <v>internet</v>
      </c>
      <c r="E6" s="64">
        <f t="shared" ca="1" si="4"/>
        <v>40314.731800000001</v>
      </c>
      <c r="F6" s="49"/>
    </row>
    <row r="7" spans="1:19" ht="15" customHeight="1">
      <c r="A7" s="48" t="str">
        <f t="shared" ca="1" si="0"/>
        <v>606424956</v>
      </c>
      <c r="B7" s="45">
        <f t="shared" ca="1" si="1"/>
        <v>176.5</v>
      </c>
      <c r="C7" s="46">
        <f t="shared" ca="1" si="2"/>
        <v>2</v>
      </c>
      <c r="D7" s="47" t="str">
        <f t="shared" ca="1" si="3"/>
        <v>zdrapka</v>
      </c>
      <c r="E7" s="64">
        <f t="shared" ca="1" si="4"/>
        <v>40408.138800000001</v>
      </c>
      <c r="F7" s="49"/>
    </row>
    <row r="8" spans="1:19" ht="15" customHeight="1">
      <c r="A8" s="48" t="str">
        <f t="shared" ca="1" si="0"/>
        <v>606695577</v>
      </c>
      <c r="B8" s="45">
        <f t="shared" ca="1" si="1"/>
        <v>157.5</v>
      </c>
      <c r="C8" s="46">
        <f t="shared" ca="1" si="2"/>
        <v>2</v>
      </c>
      <c r="D8" s="47" t="str">
        <f t="shared" ca="1" si="3"/>
        <v>zdrapka</v>
      </c>
      <c r="E8" s="64">
        <f t="shared" ca="1" si="4"/>
        <v>40403.227700000003</v>
      </c>
      <c r="F8" s="49"/>
    </row>
    <row r="9" spans="1:19" ht="15" customHeight="1">
      <c r="A9" s="48" t="str">
        <f t="shared" ca="1" si="0"/>
        <v>608389375</v>
      </c>
      <c r="B9" s="45">
        <f t="shared" ca="1" si="1"/>
        <v>162.6</v>
      </c>
      <c r="C9" s="46">
        <f t="shared" ca="1" si="2"/>
        <v>3</v>
      </c>
      <c r="D9" s="47" t="str">
        <f t="shared" ca="1" si="3"/>
        <v>bankomat</v>
      </c>
      <c r="E9" s="64">
        <f t="shared" ca="1" si="4"/>
        <v>40505.6728</v>
      </c>
      <c r="F9" s="49"/>
    </row>
    <row r="10" spans="1:19" ht="15" customHeight="1">
      <c r="A10" s="48" t="str">
        <f t="shared" ca="1" si="0"/>
        <v>602432645</v>
      </c>
      <c r="B10" s="45">
        <f t="shared" ca="1" si="1"/>
        <v>13.9</v>
      </c>
      <c r="C10" s="46">
        <f t="shared" ca="1" si="2"/>
        <v>3</v>
      </c>
      <c r="D10" s="47" t="str">
        <f t="shared" ca="1" si="3"/>
        <v>bankomat</v>
      </c>
      <c r="E10" s="64">
        <f t="shared" ca="1" si="4"/>
        <v>40249.040800000002</v>
      </c>
      <c r="F10" s="49"/>
    </row>
    <row r="11" spans="1:19" ht="15" customHeight="1">
      <c r="A11" s="48" t="str">
        <f t="shared" ca="1" si="0"/>
        <v>604489016</v>
      </c>
      <c r="B11" s="45">
        <f t="shared" ca="1" si="1"/>
        <v>193</v>
      </c>
      <c r="C11" s="46">
        <f t="shared" ca="1" si="2"/>
        <v>2</v>
      </c>
      <c r="D11" s="47" t="str">
        <f t="shared" ca="1" si="3"/>
        <v>zdrapka</v>
      </c>
      <c r="E11" s="64">
        <f t="shared" ca="1" si="4"/>
        <v>40209.8992</v>
      </c>
      <c r="F11" s="49"/>
    </row>
    <row r="12" spans="1:19" ht="15" customHeight="1">
      <c r="A12" s="48" t="str">
        <f t="shared" ca="1" si="0"/>
        <v>608335657</v>
      </c>
      <c r="B12" s="45">
        <f t="shared" ca="1" si="1"/>
        <v>184.6</v>
      </c>
      <c r="C12" s="46">
        <f t="shared" ca="1" si="2"/>
        <v>2</v>
      </c>
      <c r="D12" s="47" t="str">
        <f t="shared" ca="1" si="3"/>
        <v>zdrapka</v>
      </c>
      <c r="E12" s="64">
        <f t="shared" ca="1" si="4"/>
        <v>40537.4781</v>
      </c>
      <c r="F12" s="49"/>
    </row>
    <row r="13" spans="1:19" ht="15" customHeight="1">
      <c r="A13" s="48" t="str">
        <f t="shared" ca="1" si="0"/>
        <v>602731815</v>
      </c>
      <c r="B13" s="45">
        <f t="shared" ca="1" si="1"/>
        <v>178.1</v>
      </c>
      <c r="C13" s="46">
        <f t="shared" ca="1" si="2"/>
        <v>3</v>
      </c>
      <c r="D13" s="47" t="str">
        <f t="shared" ca="1" si="3"/>
        <v>bankomat</v>
      </c>
      <c r="E13" s="64">
        <f t="shared" ca="1" si="4"/>
        <v>40247.5959</v>
      </c>
      <c r="F13" s="49"/>
    </row>
    <row r="14" spans="1:19" ht="15" customHeight="1">
      <c r="A14" s="48" t="str">
        <f t="shared" ca="1" si="0"/>
        <v>602113012</v>
      </c>
      <c r="B14" s="45">
        <f t="shared" ca="1" si="1"/>
        <v>83</v>
      </c>
      <c r="C14" s="46">
        <f t="shared" ca="1" si="2"/>
        <v>2</v>
      </c>
      <c r="D14" s="47" t="str">
        <f t="shared" ca="1" si="3"/>
        <v>zdrapka</v>
      </c>
      <c r="E14" s="64">
        <f t="shared" ca="1" si="4"/>
        <v>40519.272299999997</v>
      </c>
      <c r="F14" s="49"/>
    </row>
    <row r="15" spans="1:19" ht="15" customHeight="1">
      <c r="A15" s="48" t="str">
        <f t="shared" ca="1" si="0"/>
        <v>600575909</v>
      </c>
      <c r="B15" s="45">
        <f t="shared" ca="1" si="1"/>
        <v>134.30000000000001</v>
      </c>
      <c r="C15" s="46">
        <f t="shared" ca="1" si="2"/>
        <v>2</v>
      </c>
      <c r="D15" s="47" t="str">
        <f t="shared" ca="1" si="3"/>
        <v>zdrapka</v>
      </c>
      <c r="E15" s="64">
        <f t="shared" ca="1" si="4"/>
        <v>40196.279900000001</v>
      </c>
      <c r="F15" s="49"/>
    </row>
    <row r="16" spans="1:19" ht="15" customHeight="1">
      <c r="A16" s="48" t="str">
        <f t="shared" ca="1" si="0"/>
        <v>606750696</v>
      </c>
      <c r="B16" s="45">
        <f t="shared" ca="1" si="1"/>
        <v>138</v>
      </c>
      <c r="C16" s="46">
        <f t="shared" ca="1" si="2"/>
        <v>2</v>
      </c>
      <c r="D16" s="47" t="str">
        <f t="shared" ca="1" si="3"/>
        <v>zdrapka</v>
      </c>
      <c r="E16" s="64">
        <f t="shared" ca="1" si="4"/>
        <v>40278.098100000003</v>
      </c>
      <c r="F16" s="49"/>
      <c r="G16" s="41"/>
    </row>
    <row r="17" spans="1:7" ht="15" customHeight="1">
      <c r="A17" s="48" t="str">
        <f t="shared" ca="1" si="0"/>
        <v>600846763</v>
      </c>
      <c r="B17" s="45">
        <f t="shared" ca="1" si="1"/>
        <v>157.69999999999999</v>
      </c>
      <c r="C17" s="46">
        <f t="shared" ca="1" si="2"/>
        <v>2</v>
      </c>
      <c r="D17" s="47" t="str">
        <f t="shared" ca="1" si="3"/>
        <v>zdrapka</v>
      </c>
      <c r="E17" s="64">
        <f t="shared" ca="1" si="4"/>
        <v>40320.034099999997</v>
      </c>
      <c r="F17" s="49"/>
      <c r="G17" s="41"/>
    </row>
    <row r="18" spans="1:7" ht="15" customHeight="1">
      <c r="A18" s="48" t="str">
        <f t="shared" ca="1" si="0"/>
        <v>608390567</v>
      </c>
      <c r="B18" s="45">
        <f t="shared" ca="1" si="1"/>
        <v>128.19999999999999</v>
      </c>
      <c r="C18" s="46">
        <f t="shared" ca="1" si="2"/>
        <v>1</v>
      </c>
      <c r="D18" s="47" t="str">
        <f t="shared" ca="1" si="3"/>
        <v>internet</v>
      </c>
      <c r="E18" s="64">
        <f t="shared" ca="1" si="4"/>
        <v>40358.823199999999</v>
      </c>
      <c r="F18" s="49"/>
      <c r="G18" s="41"/>
    </row>
    <row r="19" spans="1:7" ht="15" customHeight="1">
      <c r="A19" s="48" t="str">
        <f t="shared" ca="1" si="0"/>
        <v>600316987</v>
      </c>
      <c r="B19" s="45">
        <f t="shared" ca="1" si="1"/>
        <v>51.8</v>
      </c>
      <c r="C19" s="46">
        <f t="shared" ca="1" si="2"/>
        <v>2</v>
      </c>
      <c r="D19" s="47" t="str">
        <f t="shared" ca="1" si="3"/>
        <v>zdrapka</v>
      </c>
      <c r="E19" s="64">
        <f t="shared" ca="1" si="4"/>
        <v>40371.719599999997</v>
      </c>
      <c r="F19" s="49"/>
      <c r="G19" s="41"/>
    </row>
    <row r="20" spans="1:7" ht="15" customHeight="1">
      <c r="A20" s="48" t="str">
        <f t="shared" ca="1" si="0"/>
        <v>604197888</v>
      </c>
      <c r="B20" s="45">
        <f t="shared" ca="1" si="1"/>
        <v>11.5</v>
      </c>
      <c r="C20" s="46">
        <f t="shared" ca="1" si="2"/>
        <v>1</v>
      </c>
      <c r="D20" s="47" t="str">
        <f t="shared" ca="1" si="3"/>
        <v>internet</v>
      </c>
      <c r="E20" s="64">
        <f t="shared" ca="1" si="4"/>
        <v>40395.365599999997</v>
      </c>
      <c r="F20" s="49"/>
      <c r="G20" s="41"/>
    </row>
    <row r="21" spans="1:7" ht="15" customHeight="1">
      <c r="A21" s="48" t="str">
        <f t="shared" ca="1" si="0"/>
        <v>602178484</v>
      </c>
      <c r="B21" s="45">
        <f t="shared" ca="1" si="1"/>
        <v>183.1</v>
      </c>
      <c r="C21" s="46">
        <f t="shared" ca="1" si="2"/>
        <v>2</v>
      </c>
      <c r="D21" s="47" t="str">
        <f t="shared" ca="1" si="3"/>
        <v>zdrapka</v>
      </c>
      <c r="E21" s="64">
        <f t="shared" ca="1" si="4"/>
        <v>40406.319199999998</v>
      </c>
      <c r="F21" s="49"/>
      <c r="G21" s="41"/>
    </row>
    <row r="22" spans="1:7" ht="15" customHeight="1">
      <c r="A22" s="48" t="str">
        <f t="shared" ca="1" si="0"/>
        <v>604254934</v>
      </c>
      <c r="B22" s="45">
        <f t="shared" ca="1" si="1"/>
        <v>168.2</v>
      </c>
      <c r="C22" s="46">
        <f t="shared" ca="1" si="2"/>
        <v>2</v>
      </c>
      <c r="D22" s="47" t="str">
        <f t="shared" ca="1" si="3"/>
        <v>zdrapka</v>
      </c>
      <c r="E22" s="64">
        <f t="shared" ca="1" si="4"/>
        <v>40444.097000000002</v>
      </c>
      <c r="F22" s="49"/>
    </row>
    <row r="23" spans="1:7" ht="15" customHeight="1">
      <c r="A23" s="48" t="str">
        <f t="shared" ca="1" si="0"/>
        <v>604206445</v>
      </c>
      <c r="B23" s="45">
        <f t="shared" ca="1" si="1"/>
        <v>104.4</v>
      </c>
      <c r="C23" s="46">
        <f t="shared" ca="1" si="2"/>
        <v>2</v>
      </c>
      <c r="D23" s="47" t="str">
        <f t="shared" ca="1" si="3"/>
        <v>zdrapka</v>
      </c>
      <c r="E23" s="64">
        <f t="shared" ca="1" si="4"/>
        <v>40532.040800000002</v>
      </c>
      <c r="F23" s="49"/>
    </row>
    <row r="24" spans="1:7" ht="15" customHeight="1">
      <c r="A24" s="48" t="str">
        <f t="shared" ca="1" si="0"/>
        <v>608283868</v>
      </c>
      <c r="B24" s="45">
        <f t="shared" ca="1" si="1"/>
        <v>20.2</v>
      </c>
      <c r="C24" s="46">
        <f t="shared" ca="1" si="2"/>
        <v>2</v>
      </c>
      <c r="D24" s="47" t="str">
        <f t="shared" ca="1" si="3"/>
        <v>zdrapka</v>
      </c>
      <c r="E24" s="64">
        <f t="shared" ca="1" si="4"/>
        <v>40202.6368</v>
      </c>
      <c r="F24" s="49"/>
    </row>
    <row r="25" spans="1:7" ht="15" customHeight="1">
      <c r="A25" s="48" t="str">
        <f t="shared" ca="1" si="0"/>
        <v>606636439</v>
      </c>
      <c r="B25" s="45">
        <f t="shared" ca="1" si="1"/>
        <v>18</v>
      </c>
      <c r="C25" s="46">
        <f t="shared" ca="1" si="2"/>
        <v>1</v>
      </c>
      <c r="D25" s="47" t="str">
        <f t="shared" ca="1" si="3"/>
        <v>internet</v>
      </c>
      <c r="E25" s="64">
        <f t="shared" ca="1" si="4"/>
        <v>40332.402099999999</v>
      </c>
      <c r="F25" s="49"/>
    </row>
    <row r="26" spans="1:7" ht="15" customHeight="1">
      <c r="A26" s="48" t="str">
        <f t="shared" ca="1" si="0"/>
        <v>602310425</v>
      </c>
      <c r="B26" s="45">
        <f t="shared" ca="1" si="1"/>
        <v>186.1</v>
      </c>
      <c r="C26" s="46">
        <f t="shared" ca="1" si="2"/>
        <v>2</v>
      </c>
      <c r="D26" s="47" t="str">
        <f t="shared" ca="1" si="3"/>
        <v>zdrapka</v>
      </c>
      <c r="E26" s="64">
        <f t="shared" ca="1" si="4"/>
        <v>40538.965900000003</v>
      </c>
      <c r="F26" s="49"/>
    </row>
    <row r="27" spans="1:7" ht="15">
      <c r="A27" s="48" t="str">
        <f t="shared" ca="1" si="0"/>
        <v>602777356</v>
      </c>
      <c r="B27" s="45">
        <f ca="1">ROUND(RAND()*200+10,1)</f>
        <v>192.7</v>
      </c>
      <c r="C27" s="46">
        <f ca="1">ROUND(RAND()*2+1,0)</f>
        <v>3</v>
      </c>
      <c r="D27" s="47" t="str">
        <f t="shared" ca="1" si="3"/>
        <v>bankomat</v>
      </c>
      <c r="E27" s="64">
        <f t="shared" ca="1" si="4"/>
        <v>40497.111499999999</v>
      </c>
      <c r="F27" s="49"/>
    </row>
    <row r="28" spans="1:7" ht="15">
      <c r="A28" s="48" t="str">
        <f t="shared" ca="1" si="0"/>
        <v>606653095</v>
      </c>
      <c r="B28" s="45">
        <f t="shared" ref="B28:B51" ca="1" si="5">ROUND(RAND()*200+10,1)</f>
        <v>179</v>
      </c>
      <c r="C28" s="46">
        <f t="shared" ref="C28:C51" ca="1" si="6">ROUND(RAND()*2+1,0)</f>
        <v>2</v>
      </c>
      <c r="D28" s="47" t="str">
        <f t="shared" ca="1" si="3"/>
        <v>zdrapka</v>
      </c>
      <c r="E28" s="64">
        <f t="shared" ca="1" si="4"/>
        <v>40274.296499999997</v>
      </c>
      <c r="F28" s="49"/>
    </row>
    <row r="29" spans="1:7" ht="15">
      <c r="A29" s="48" t="str">
        <f t="shared" ca="1" si="0"/>
        <v>608719542</v>
      </c>
      <c r="B29" s="45">
        <f t="shared" ca="1" si="5"/>
        <v>120.1</v>
      </c>
      <c r="C29" s="46">
        <f t="shared" ca="1" si="6"/>
        <v>1</v>
      </c>
      <c r="D29" s="47" t="str">
        <f t="shared" ca="1" si="3"/>
        <v>internet</v>
      </c>
      <c r="E29" s="64">
        <f t="shared" ca="1" si="4"/>
        <v>40211.328099999999</v>
      </c>
      <c r="F29" s="49"/>
    </row>
    <row r="30" spans="1:7" ht="15">
      <c r="A30" s="48" t="str">
        <f t="shared" ca="1" si="0"/>
        <v>608513288</v>
      </c>
      <c r="B30" s="45">
        <f t="shared" ca="1" si="5"/>
        <v>86.6</v>
      </c>
      <c r="C30" s="46">
        <f t="shared" ca="1" si="6"/>
        <v>1</v>
      </c>
      <c r="D30" s="47" t="str">
        <f t="shared" ca="1" si="3"/>
        <v>internet</v>
      </c>
      <c r="E30" s="64">
        <f t="shared" ca="1" si="4"/>
        <v>40249.246599999999</v>
      </c>
      <c r="F30" s="49"/>
    </row>
    <row r="31" spans="1:7" ht="15">
      <c r="A31" s="48" t="str">
        <f t="shared" ca="1" si="0"/>
        <v>604428113</v>
      </c>
      <c r="B31" s="45">
        <f t="shared" ca="1" si="5"/>
        <v>207.8</v>
      </c>
      <c r="C31" s="46">
        <f t="shared" ca="1" si="6"/>
        <v>2</v>
      </c>
      <c r="D31" s="47" t="str">
        <f t="shared" ca="1" si="3"/>
        <v>zdrapka</v>
      </c>
      <c r="E31" s="64">
        <f t="shared" ca="1" si="4"/>
        <v>40181.0363</v>
      </c>
      <c r="F31" s="49"/>
    </row>
    <row r="32" spans="1:7" ht="15">
      <c r="A32" s="48" t="str">
        <f t="shared" ca="1" si="0"/>
        <v>602101027</v>
      </c>
      <c r="B32" s="45">
        <f t="shared" ca="1" si="5"/>
        <v>208.8</v>
      </c>
      <c r="C32" s="46">
        <f t="shared" ca="1" si="6"/>
        <v>2</v>
      </c>
      <c r="D32" s="47" t="str">
        <f t="shared" ca="1" si="3"/>
        <v>zdrapka</v>
      </c>
      <c r="E32" s="64">
        <f t="shared" ca="1" si="4"/>
        <v>40413.9306</v>
      </c>
      <c r="F32" s="49"/>
    </row>
    <row r="33" spans="1:6" ht="15">
      <c r="A33" s="48" t="str">
        <f t="shared" ca="1" si="0"/>
        <v>602852802</v>
      </c>
      <c r="B33" s="45">
        <f t="shared" ca="1" si="5"/>
        <v>139.30000000000001</v>
      </c>
      <c r="C33" s="46">
        <f t="shared" ca="1" si="6"/>
        <v>2</v>
      </c>
      <c r="D33" s="47" t="str">
        <f t="shared" ca="1" si="3"/>
        <v>zdrapka</v>
      </c>
      <c r="E33" s="64">
        <f t="shared" ca="1" si="4"/>
        <v>40299.756399999998</v>
      </c>
      <c r="F33" s="49"/>
    </row>
    <row r="34" spans="1:6" ht="15">
      <c r="A34" s="48" t="str">
        <f t="shared" ca="1" si="0"/>
        <v>604476778</v>
      </c>
      <c r="B34" s="45">
        <f t="shared" ca="1" si="5"/>
        <v>142.80000000000001</v>
      </c>
      <c r="C34" s="46">
        <f t="shared" ca="1" si="6"/>
        <v>3</v>
      </c>
      <c r="D34" s="47" t="str">
        <f t="shared" ca="1" si="3"/>
        <v>bankomat</v>
      </c>
      <c r="E34" s="64">
        <f t="shared" ca="1" si="4"/>
        <v>40392.371599999999</v>
      </c>
      <c r="F34" s="49"/>
    </row>
    <row r="35" spans="1:6" ht="15">
      <c r="A35" s="48" t="str">
        <f t="shared" ca="1" si="0"/>
        <v>602572057</v>
      </c>
      <c r="B35" s="45">
        <f t="shared" ca="1" si="5"/>
        <v>83.9</v>
      </c>
      <c r="C35" s="46">
        <f t="shared" ca="1" si="6"/>
        <v>3</v>
      </c>
      <c r="D35" s="47" t="str">
        <f t="shared" ca="1" si="3"/>
        <v>bankomat</v>
      </c>
      <c r="E35" s="64">
        <f t="shared" ca="1" si="4"/>
        <v>40477.820299999999</v>
      </c>
      <c r="F35" s="49"/>
    </row>
    <row r="36" spans="1:6" ht="15">
      <c r="A36" s="48" t="str">
        <f t="shared" ca="1" si="0"/>
        <v>604189302</v>
      </c>
      <c r="B36" s="45">
        <f t="shared" ca="1" si="5"/>
        <v>118.1</v>
      </c>
      <c r="C36" s="46">
        <f t="shared" ca="1" si="6"/>
        <v>2</v>
      </c>
      <c r="D36" s="47" t="str">
        <f t="shared" ca="1" si="3"/>
        <v>zdrapka</v>
      </c>
      <c r="E36" s="64">
        <f t="shared" ca="1" si="4"/>
        <v>40347.426800000001</v>
      </c>
      <c r="F36" s="49"/>
    </row>
    <row r="37" spans="1:6" ht="15">
      <c r="A37" s="48" t="str">
        <f t="shared" ca="1" si="0"/>
        <v>600645387</v>
      </c>
      <c r="B37" s="45">
        <f t="shared" ca="1" si="5"/>
        <v>54.4</v>
      </c>
      <c r="C37" s="46">
        <f t="shared" ca="1" si="6"/>
        <v>2</v>
      </c>
      <c r="D37" s="47" t="str">
        <f t="shared" ca="1" si="3"/>
        <v>zdrapka</v>
      </c>
      <c r="E37" s="64">
        <f t="shared" ca="1" si="4"/>
        <v>40446.7232</v>
      </c>
      <c r="F37" s="49"/>
    </row>
    <row r="38" spans="1:6" ht="15">
      <c r="A38" s="48" t="str">
        <f t="shared" ca="1" si="0"/>
        <v>606253317</v>
      </c>
      <c r="B38" s="45">
        <f t="shared" ca="1" si="5"/>
        <v>132.5</v>
      </c>
      <c r="C38" s="46">
        <f t="shared" ca="1" si="6"/>
        <v>3</v>
      </c>
      <c r="D38" s="47" t="str">
        <f t="shared" ca="1" si="3"/>
        <v>bankomat</v>
      </c>
      <c r="E38" s="64">
        <f t="shared" ca="1" si="4"/>
        <v>40372.725200000001</v>
      </c>
      <c r="F38" s="49"/>
    </row>
    <row r="39" spans="1:6" ht="15">
      <c r="A39" s="48" t="str">
        <f t="shared" ca="1" si="0"/>
        <v>602669023</v>
      </c>
      <c r="B39" s="45">
        <f t="shared" ca="1" si="5"/>
        <v>182</v>
      </c>
      <c r="C39" s="46">
        <f t="shared" ca="1" si="6"/>
        <v>3</v>
      </c>
      <c r="D39" s="47" t="str">
        <f t="shared" ca="1" si="3"/>
        <v>bankomat</v>
      </c>
      <c r="E39" s="64">
        <f t="shared" ca="1" si="4"/>
        <v>40255.712899999999</v>
      </c>
      <c r="F39" s="49"/>
    </row>
    <row r="40" spans="1:6" ht="15">
      <c r="A40" s="48" t="str">
        <f t="shared" ca="1" si="0"/>
        <v>600286677</v>
      </c>
      <c r="B40" s="45">
        <f t="shared" ca="1" si="5"/>
        <v>94</v>
      </c>
      <c r="C40" s="46">
        <f t="shared" ca="1" si="6"/>
        <v>2</v>
      </c>
      <c r="D40" s="47" t="str">
        <f t="shared" ca="1" si="3"/>
        <v>zdrapka</v>
      </c>
      <c r="E40" s="64">
        <f t="shared" ca="1" si="4"/>
        <v>40201.971400000002</v>
      </c>
      <c r="F40" s="49"/>
    </row>
    <row r="41" spans="1:6" ht="15">
      <c r="A41" s="48" t="str">
        <f t="shared" ca="1" si="0"/>
        <v>608613235</v>
      </c>
      <c r="B41" s="45">
        <f t="shared" ca="1" si="5"/>
        <v>59.9</v>
      </c>
      <c r="C41" s="46">
        <f t="shared" ca="1" si="6"/>
        <v>2</v>
      </c>
      <c r="D41" s="47" t="str">
        <f t="shared" ca="1" si="3"/>
        <v>zdrapka</v>
      </c>
      <c r="E41" s="64">
        <f t="shared" ca="1" si="4"/>
        <v>40524.1345</v>
      </c>
      <c r="F41" s="49"/>
    </row>
    <row r="42" spans="1:6" ht="15">
      <c r="A42" s="48" t="str">
        <f t="shared" ca="1" si="0"/>
        <v>602341022</v>
      </c>
      <c r="B42" s="45">
        <f t="shared" ca="1" si="5"/>
        <v>115.4</v>
      </c>
      <c r="C42" s="46">
        <f t="shared" ca="1" si="6"/>
        <v>2</v>
      </c>
      <c r="D42" s="47" t="str">
        <f t="shared" ca="1" si="3"/>
        <v>zdrapka</v>
      </c>
      <c r="E42" s="64">
        <f t="shared" ca="1" si="4"/>
        <v>40324.399400000002</v>
      </c>
      <c r="F42" s="49"/>
    </row>
    <row r="43" spans="1:6" ht="15">
      <c r="A43" s="48" t="str">
        <f t="shared" ca="1" si="0"/>
        <v>604523266</v>
      </c>
      <c r="B43" s="45">
        <f t="shared" ca="1" si="5"/>
        <v>103.4</v>
      </c>
      <c r="C43" s="46">
        <f t="shared" ca="1" si="6"/>
        <v>2</v>
      </c>
      <c r="D43" s="47" t="str">
        <f t="shared" ca="1" si="3"/>
        <v>zdrapka</v>
      </c>
      <c r="E43" s="64">
        <f t="shared" ca="1" si="4"/>
        <v>40341.3701</v>
      </c>
      <c r="F43" s="49"/>
    </row>
    <row r="44" spans="1:6" ht="15">
      <c r="A44" s="48" t="str">
        <f t="shared" ca="1" si="0"/>
        <v>602452385</v>
      </c>
      <c r="B44" s="45">
        <f t="shared" ca="1" si="5"/>
        <v>38.1</v>
      </c>
      <c r="C44" s="46">
        <f t="shared" ca="1" si="6"/>
        <v>2</v>
      </c>
      <c r="D44" s="47" t="str">
        <f t="shared" ca="1" si="3"/>
        <v>zdrapka</v>
      </c>
      <c r="E44" s="64">
        <f t="shared" ca="1" si="4"/>
        <v>40442.615599999997</v>
      </c>
      <c r="F44" s="49"/>
    </row>
    <row r="45" spans="1:6" ht="15">
      <c r="A45" s="48" t="str">
        <f t="shared" ca="1" si="0"/>
        <v>602655633</v>
      </c>
      <c r="B45" s="45">
        <f t="shared" ca="1" si="5"/>
        <v>66.5</v>
      </c>
      <c r="C45" s="46">
        <f t="shared" ca="1" si="6"/>
        <v>1</v>
      </c>
      <c r="D45" s="47" t="str">
        <f t="shared" ca="1" si="3"/>
        <v>internet</v>
      </c>
      <c r="E45" s="64">
        <f t="shared" ca="1" si="4"/>
        <v>40524.279900000001</v>
      </c>
      <c r="F45" s="49"/>
    </row>
    <row r="46" spans="1:6" ht="15">
      <c r="A46" s="48" t="str">
        <f t="shared" ca="1" si="0"/>
        <v>606801516</v>
      </c>
      <c r="B46" s="45">
        <f t="shared" ca="1" si="5"/>
        <v>12.1</v>
      </c>
      <c r="C46" s="46">
        <f t="shared" ca="1" si="6"/>
        <v>1</v>
      </c>
      <c r="D46" s="47" t="str">
        <f t="shared" ca="1" si="3"/>
        <v>internet</v>
      </c>
      <c r="E46" s="64">
        <f t="shared" ca="1" si="4"/>
        <v>40224.180999999997</v>
      </c>
      <c r="F46" s="49"/>
    </row>
    <row r="47" spans="1:6" ht="15">
      <c r="A47" s="48" t="str">
        <f t="shared" ca="1" si="0"/>
        <v>606810171</v>
      </c>
      <c r="B47" s="45">
        <f t="shared" ca="1" si="5"/>
        <v>187.3</v>
      </c>
      <c r="C47" s="46">
        <f t="shared" ca="1" si="6"/>
        <v>3</v>
      </c>
      <c r="D47" s="47" t="str">
        <f t="shared" ca="1" si="3"/>
        <v>bankomat</v>
      </c>
      <c r="E47" s="64">
        <f t="shared" ca="1" si="4"/>
        <v>40329.722300000001</v>
      </c>
      <c r="F47" s="49"/>
    </row>
    <row r="48" spans="1:6" ht="15">
      <c r="A48" s="48" t="str">
        <f t="shared" ca="1" si="0"/>
        <v>608384181</v>
      </c>
      <c r="B48" s="45">
        <f t="shared" ca="1" si="5"/>
        <v>180.1</v>
      </c>
      <c r="C48" s="46">
        <f t="shared" ca="1" si="6"/>
        <v>1</v>
      </c>
      <c r="D48" s="47" t="str">
        <f t="shared" ca="1" si="3"/>
        <v>internet</v>
      </c>
      <c r="E48" s="64">
        <f t="shared" ca="1" si="4"/>
        <v>40274.714200000002</v>
      </c>
      <c r="F48" s="49"/>
    </row>
    <row r="49" spans="1:6" ht="15">
      <c r="A49" s="48" t="str">
        <f t="shared" ca="1" si="0"/>
        <v>602548897</v>
      </c>
      <c r="B49" s="45">
        <f t="shared" ca="1" si="5"/>
        <v>55.8</v>
      </c>
      <c r="C49" s="46">
        <f t="shared" ca="1" si="6"/>
        <v>1</v>
      </c>
      <c r="D49" s="47" t="str">
        <f t="shared" ca="1" si="3"/>
        <v>internet</v>
      </c>
      <c r="E49" s="64">
        <f t="shared" ca="1" si="4"/>
        <v>40505.268400000001</v>
      </c>
      <c r="F49" s="49"/>
    </row>
    <row r="50" spans="1:6" ht="15">
      <c r="A50" s="48" t="str">
        <f t="shared" ca="1" si="0"/>
        <v>602785119</v>
      </c>
      <c r="B50" s="45">
        <f t="shared" ca="1" si="5"/>
        <v>166.2</v>
      </c>
      <c r="C50" s="46">
        <f t="shared" ca="1" si="6"/>
        <v>2</v>
      </c>
      <c r="D50" s="47" t="str">
        <f t="shared" ca="1" si="3"/>
        <v>zdrapka</v>
      </c>
      <c r="E50" s="64">
        <f t="shared" ca="1" si="4"/>
        <v>40257.736599999997</v>
      </c>
      <c r="F50" s="49"/>
    </row>
    <row r="51" spans="1:6" ht="15.75" thickBot="1">
      <c r="A51" s="50" t="str">
        <f t="shared" ca="1" si="0"/>
        <v>606626393</v>
      </c>
      <c r="B51" s="51">
        <f t="shared" ca="1" si="5"/>
        <v>144.4</v>
      </c>
      <c r="C51" s="52">
        <f t="shared" ca="1" si="6"/>
        <v>2</v>
      </c>
      <c r="D51" s="53" t="str">
        <f t="shared" ca="1" si="3"/>
        <v>zdrapka</v>
      </c>
      <c r="E51" s="65">
        <f t="shared" ca="1" si="4"/>
        <v>40469.443099999997</v>
      </c>
      <c r="F51" s="54"/>
    </row>
  </sheetData>
  <customSheetViews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2" t="s">
        <v>86</v>
      </c>
      <c r="B1" s="66" t="s">
        <v>94</v>
      </c>
      <c r="C1" s="60" t="s">
        <v>95</v>
      </c>
      <c r="D1" s="60" t="s">
        <v>92</v>
      </c>
      <c r="E1" s="61" t="s">
        <v>96</v>
      </c>
      <c r="Q1">
        <v>1</v>
      </c>
      <c r="R1" t="s">
        <v>89</v>
      </c>
    </row>
    <row r="2" spans="1:18" ht="15" customHeight="1">
      <c r="A2" s="55" t="str">
        <f ca="1">"88"&amp;2*ROUND(RAND()*4,0)&amp;ROUND(RAND()*800000+100000,0)</f>
        <v>886291388</v>
      </c>
      <c r="B2" s="67">
        <f ca="1">IF(RAND()&lt;0.7,20,5)</f>
        <v>20</v>
      </c>
      <c r="C2" s="56">
        <f ca="1">ROUND(RAND()*200+10,1)</f>
        <v>136.4</v>
      </c>
      <c r="D2" s="63">
        <f ca="1">ROUND(RAND()*365+40179,4)</f>
        <v>40532.590900000003</v>
      </c>
      <c r="E2" s="59"/>
      <c r="F2" s="44"/>
      <c r="Q2">
        <v>2</v>
      </c>
      <c r="R2" t="s">
        <v>90</v>
      </c>
    </row>
    <row r="3" spans="1:18" ht="15" customHeight="1">
      <c r="A3" s="55" t="str">
        <f t="shared" ref="A3:A51" ca="1" si="0">"88"&amp;2*ROUND(RAND()*4,0)&amp;ROUND(RAND()*800000+100000,0)</f>
        <v>888275684</v>
      </c>
      <c r="B3" s="67">
        <f t="shared" ref="B3:B51" ca="1" si="1">IF(RAND()&lt;0.7,20,5)</f>
        <v>20</v>
      </c>
      <c r="C3" s="45">
        <f t="shared" ref="C3:C26" ca="1" si="2">ROUND(RAND()*200+10,1)</f>
        <v>100.9</v>
      </c>
      <c r="D3" s="64">
        <f t="shared" ref="D3:D51" ca="1" si="3">ROUND(RAND()*365+40179,4)</f>
        <v>40438.241300000002</v>
      </c>
      <c r="E3" s="49"/>
      <c r="Q3">
        <v>3</v>
      </c>
      <c r="R3" t="s">
        <v>91</v>
      </c>
    </row>
    <row r="4" spans="1:18" ht="15" customHeight="1">
      <c r="A4" s="55" t="str">
        <f t="shared" ca="1" si="0"/>
        <v>882566728</v>
      </c>
      <c r="B4" s="67">
        <f t="shared" ca="1" si="1"/>
        <v>20</v>
      </c>
      <c r="C4" s="45">
        <f t="shared" ca="1" si="2"/>
        <v>171.7</v>
      </c>
      <c r="D4" s="64">
        <f t="shared" ca="1" si="3"/>
        <v>40338.279199999997</v>
      </c>
      <c r="E4" s="49"/>
    </row>
    <row r="5" spans="1:18" ht="15" customHeight="1">
      <c r="A5" s="55" t="str">
        <f t="shared" ca="1" si="0"/>
        <v>886361989</v>
      </c>
      <c r="B5" s="67">
        <f t="shared" ca="1" si="1"/>
        <v>20</v>
      </c>
      <c r="C5" s="45">
        <f t="shared" ca="1" si="2"/>
        <v>97.1</v>
      </c>
      <c r="D5" s="64">
        <f t="shared" ca="1" si="3"/>
        <v>40296.662799999998</v>
      </c>
      <c r="E5" s="49"/>
    </row>
    <row r="6" spans="1:18" ht="15" customHeight="1">
      <c r="A6" s="55" t="str">
        <f t="shared" ca="1" si="0"/>
        <v>888747738</v>
      </c>
      <c r="B6" s="67">
        <f t="shared" ca="1" si="1"/>
        <v>5</v>
      </c>
      <c r="C6" s="45">
        <f t="shared" ca="1" si="2"/>
        <v>21.2</v>
      </c>
      <c r="D6" s="64">
        <f t="shared" ca="1" si="3"/>
        <v>40340.733899999999</v>
      </c>
      <c r="E6" s="49"/>
    </row>
    <row r="7" spans="1:18" ht="15" customHeight="1">
      <c r="A7" s="55" t="str">
        <f t="shared" ca="1" si="0"/>
        <v>882470168</v>
      </c>
      <c r="B7" s="67">
        <f t="shared" ca="1" si="1"/>
        <v>5</v>
      </c>
      <c r="C7" s="45">
        <f t="shared" ca="1" si="2"/>
        <v>189.2</v>
      </c>
      <c r="D7" s="64">
        <f t="shared" ca="1" si="3"/>
        <v>40342.007899999997</v>
      </c>
      <c r="E7" s="49"/>
    </row>
    <row r="8" spans="1:18" ht="15" customHeight="1">
      <c r="A8" s="55" t="str">
        <f t="shared" ca="1" si="0"/>
        <v>882115833</v>
      </c>
      <c r="B8" s="67">
        <f t="shared" ca="1" si="1"/>
        <v>20</v>
      </c>
      <c r="C8" s="45">
        <f t="shared" ca="1" si="2"/>
        <v>72.5</v>
      </c>
      <c r="D8" s="64">
        <f t="shared" ca="1" si="3"/>
        <v>40360.483999999997</v>
      </c>
      <c r="E8" s="49"/>
    </row>
    <row r="9" spans="1:18" ht="15" customHeight="1">
      <c r="A9" s="55" t="str">
        <f t="shared" ca="1" si="0"/>
        <v>886324058</v>
      </c>
      <c r="B9" s="67">
        <f t="shared" ca="1" si="1"/>
        <v>20</v>
      </c>
      <c r="C9" s="45">
        <f t="shared" ca="1" si="2"/>
        <v>130.80000000000001</v>
      </c>
      <c r="D9" s="64">
        <f t="shared" ca="1" si="3"/>
        <v>40529.363700000002</v>
      </c>
      <c r="E9" s="49"/>
    </row>
    <row r="10" spans="1:18" ht="15" customHeight="1">
      <c r="A10" s="55" t="str">
        <f t="shared" ca="1" si="0"/>
        <v>882392320</v>
      </c>
      <c r="B10" s="67">
        <f t="shared" ca="1" si="1"/>
        <v>5</v>
      </c>
      <c r="C10" s="45">
        <f t="shared" ca="1" si="2"/>
        <v>179.8</v>
      </c>
      <c r="D10" s="64">
        <f t="shared" ca="1" si="3"/>
        <v>40243.141499999998</v>
      </c>
      <c r="E10" s="49"/>
    </row>
    <row r="11" spans="1:18" ht="15" customHeight="1">
      <c r="A11" s="55" t="str">
        <f t="shared" ca="1" si="0"/>
        <v>888702957</v>
      </c>
      <c r="B11" s="67">
        <f t="shared" ca="1" si="1"/>
        <v>20</v>
      </c>
      <c r="C11" s="45">
        <f t="shared" ca="1" si="2"/>
        <v>55.5</v>
      </c>
      <c r="D11" s="64">
        <f t="shared" ca="1" si="3"/>
        <v>40315.081599999998</v>
      </c>
      <c r="E11" s="49"/>
    </row>
    <row r="12" spans="1:18" ht="15" customHeight="1">
      <c r="A12" s="55" t="str">
        <f t="shared" ca="1" si="0"/>
        <v>882599574</v>
      </c>
      <c r="B12" s="67">
        <f t="shared" ca="1" si="1"/>
        <v>5</v>
      </c>
      <c r="C12" s="45">
        <f t="shared" ca="1" si="2"/>
        <v>117.4</v>
      </c>
      <c r="D12" s="64">
        <f t="shared" ca="1" si="3"/>
        <v>40316.228999999999</v>
      </c>
      <c r="E12" s="49"/>
    </row>
    <row r="13" spans="1:18" ht="15" customHeight="1">
      <c r="A13" s="55" t="str">
        <f t="shared" ca="1" si="0"/>
        <v>882526923</v>
      </c>
      <c r="B13" s="67">
        <f t="shared" ca="1" si="1"/>
        <v>20</v>
      </c>
      <c r="C13" s="45">
        <f t="shared" ca="1" si="2"/>
        <v>146.80000000000001</v>
      </c>
      <c r="D13" s="64">
        <f t="shared" ca="1" si="3"/>
        <v>40483.842799999999</v>
      </c>
      <c r="E13" s="49"/>
    </row>
    <row r="14" spans="1:18" ht="15" customHeight="1">
      <c r="A14" s="55" t="str">
        <f t="shared" ca="1" si="0"/>
        <v>882231209</v>
      </c>
      <c r="B14" s="67">
        <f t="shared" ca="1" si="1"/>
        <v>20</v>
      </c>
      <c r="C14" s="45">
        <f t="shared" ca="1" si="2"/>
        <v>82.3</v>
      </c>
      <c r="D14" s="64">
        <f t="shared" ca="1" si="3"/>
        <v>40439.300499999998</v>
      </c>
      <c r="E14" s="49"/>
    </row>
    <row r="15" spans="1:18" ht="15" customHeight="1">
      <c r="A15" s="55" t="str">
        <f t="shared" ca="1" si="0"/>
        <v>888277973</v>
      </c>
      <c r="B15" s="67">
        <f t="shared" ca="1" si="1"/>
        <v>20</v>
      </c>
      <c r="C15" s="45">
        <f t="shared" ca="1" si="2"/>
        <v>86</v>
      </c>
      <c r="D15" s="64">
        <f t="shared" ca="1" si="3"/>
        <v>40519.5095</v>
      </c>
      <c r="E15" s="49"/>
    </row>
    <row r="16" spans="1:18" ht="15" customHeight="1">
      <c r="A16" s="55" t="str">
        <f t="shared" ca="1" si="0"/>
        <v>880583718</v>
      </c>
      <c r="B16" s="67">
        <f t="shared" ca="1" si="1"/>
        <v>20</v>
      </c>
      <c r="C16" s="45">
        <f t="shared" ca="1" si="2"/>
        <v>150.69999999999999</v>
      </c>
      <c r="D16" s="64">
        <f t="shared" ca="1" si="3"/>
        <v>40230.0213</v>
      </c>
      <c r="E16" s="49"/>
      <c r="F16" s="41"/>
    </row>
    <row r="17" spans="1:6" ht="15" customHeight="1">
      <c r="A17" s="55" t="str">
        <f t="shared" ca="1" si="0"/>
        <v>880873456</v>
      </c>
      <c r="B17" s="67">
        <f t="shared" ca="1" si="1"/>
        <v>20</v>
      </c>
      <c r="C17" s="45">
        <f t="shared" ca="1" si="2"/>
        <v>92</v>
      </c>
      <c r="D17" s="64">
        <f t="shared" ca="1" si="3"/>
        <v>40401.952700000002</v>
      </c>
      <c r="E17" s="49"/>
      <c r="F17" s="41"/>
    </row>
    <row r="18" spans="1:6" ht="15" customHeight="1">
      <c r="A18" s="55" t="str">
        <f t="shared" ca="1" si="0"/>
        <v>882127124</v>
      </c>
      <c r="B18" s="67">
        <f t="shared" ca="1" si="1"/>
        <v>20</v>
      </c>
      <c r="C18" s="45">
        <f t="shared" ca="1" si="2"/>
        <v>74.3</v>
      </c>
      <c r="D18" s="64">
        <f t="shared" ca="1" si="3"/>
        <v>40264.2281</v>
      </c>
      <c r="E18" s="49"/>
      <c r="F18" s="41"/>
    </row>
    <row r="19" spans="1:6" ht="15" customHeight="1">
      <c r="A19" s="55" t="str">
        <f t="shared" ca="1" si="0"/>
        <v>882433739</v>
      </c>
      <c r="B19" s="67">
        <f t="shared" ca="1" si="1"/>
        <v>5</v>
      </c>
      <c r="C19" s="45">
        <f t="shared" ca="1" si="2"/>
        <v>114</v>
      </c>
      <c r="D19" s="64">
        <f t="shared" ca="1" si="3"/>
        <v>40253.566800000001</v>
      </c>
      <c r="E19" s="49"/>
      <c r="F19" s="41"/>
    </row>
    <row r="20" spans="1:6" ht="15" customHeight="1">
      <c r="A20" s="55" t="str">
        <f t="shared" ca="1" si="0"/>
        <v>882531284</v>
      </c>
      <c r="B20" s="67">
        <f t="shared" ca="1" si="1"/>
        <v>5</v>
      </c>
      <c r="C20" s="45">
        <f t="shared" ca="1" si="2"/>
        <v>188.8</v>
      </c>
      <c r="D20" s="64">
        <f t="shared" ca="1" si="3"/>
        <v>40381.977200000001</v>
      </c>
      <c r="E20" s="49"/>
      <c r="F20" s="41"/>
    </row>
    <row r="21" spans="1:6" ht="15" customHeight="1">
      <c r="A21" s="55" t="str">
        <f t="shared" ca="1" si="0"/>
        <v>880593716</v>
      </c>
      <c r="B21" s="67">
        <f t="shared" ca="1" si="1"/>
        <v>5</v>
      </c>
      <c r="C21" s="45">
        <f t="shared" ca="1" si="2"/>
        <v>204</v>
      </c>
      <c r="D21" s="64">
        <f t="shared" ca="1" si="3"/>
        <v>40446.021500000003</v>
      </c>
      <c r="E21" s="49"/>
      <c r="F21" s="41"/>
    </row>
    <row r="22" spans="1:6" ht="15" customHeight="1">
      <c r="A22" s="55" t="str">
        <f t="shared" ca="1" si="0"/>
        <v>882598886</v>
      </c>
      <c r="B22" s="67">
        <f t="shared" ca="1" si="1"/>
        <v>20</v>
      </c>
      <c r="C22" s="45">
        <f t="shared" ca="1" si="2"/>
        <v>31.8</v>
      </c>
      <c r="D22" s="64">
        <f t="shared" ca="1" si="3"/>
        <v>40346.855100000001</v>
      </c>
      <c r="E22" s="49"/>
    </row>
    <row r="23" spans="1:6" ht="15" customHeight="1">
      <c r="A23" s="55" t="str">
        <f t="shared" ca="1" si="0"/>
        <v>886350331</v>
      </c>
      <c r="B23" s="67">
        <f t="shared" ca="1" si="1"/>
        <v>5</v>
      </c>
      <c r="C23" s="45">
        <f t="shared" ca="1" si="2"/>
        <v>175.4</v>
      </c>
      <c r="D23" s="64">
        <f t="shared" ca="1" si="3"/>
        <v>40496.272400000002</v>
      </c>
      <c r="E23" s="49"/>
    </row>
    <row r="24" spans="1:6" ht="15" customHeight="1">
      <c r="A24" s="55" t="str">
        <f t="shared" ca="1" si="0"/>
        <v>884128935</v>
      </c>
      <c r="B24" s="67">
        <f t="shared" ca="1" si="1"/>
        <v>20</v>
      </c>
      <c r="C24" s="45">
        <f t="shared" ca="1" si="2"/>
        <v>113.3</v>
      </c>
      <c r="D24" s="64">
        <f t="shared" ca="1" si="3"/>
        <v>40206.584300000002</v>
      </c>
      <c r="E24" s="49"/>
    </row>
    <row r="25" spans="1:6" ht="15" customHeight="1">
      <c r="A25" s="55" t="str">
        <f t="shared" ca="1" si="0"/>
        <v>882167349</v>
      </c>
      <c r="B25" s="67">
        <f t="shared" ca="1" si="1"/>
        <v>20</v>
      </c>
      <c r="C25" s="45">
        <f t="shared" ca="1" si="2"/>
        <v>45.9</v>
      </c>
      <c r="D25" s="64">
        <f t="shared" ca="1" si="3"/>
        <v>40289.218500000003</v>
      </c>
      <c r="E25" s="49"/>
    </row>
    <row r="26" spans="1:6" ht="15" customHeight="1">
      <c r="A26" s="55" t="str">
        <f t="shared" ca="1" si="0"/>
        <v>886289547</v>
      </c>
      <c r="B26" s="67">
        <f t="shared" ca="1" si="1"/>
        <v>5</v>
      </c>
      <c r="C26" s="45">
        <f t="shared" ca="1" si="2"/>
        <v>48.6</v>
      </c>
      <c r="D26" s="64">
        <f t="shared" ca="1" si="3"/>
        <v>40475.349199999997</v>
      </c>
      <c r="E26" s="49"/>
    </row>
    <row r="27" spans="1:6" ht="15">
      <c r="A27" s="55" t="str">
        <f t="shared" ca="1" si="0"/>
        <v>884825943</v>
      </c>
      <c r="B27" s="67">
        <f t="shared" ca="1" si="1"/>
        <v>5</v>
      </c>
      <c r="C27" s="45">
        <f ca="1">ROUND(RAND()*200+10,1)</f>
        <v>66.8</v>
      </c>
      <c r="D27" s="64">
        <f t="shared" ca="1" si="3"/>
        <v>40247.332199999997</v>
      </c>
      <c r="E27" s="49"/>
    </row>
    <row r="28" spans="1:6" ht="15">
      <c r="A28" s="55" t="str">
        <f t="shared" ca="1" si="0"/>
        <v>882694258</v>
      </c>
      <c r="B28" s="67">
        <f t="shared" ca="1" si="1"/>
        <v>20</v>
      </c>
      <c r="C28" s="45">
        <f t="shared" ref="C28:C51" ca="1" si="4">ROUND(RAND()*200+10,1)</f>
        <v>58.4</v>
      </c>
      <c r="D28" s="64">
        <f t="shared" ca="1" si="3"/>
        <v>40262.8148</v>
      </c>
      <c r="E28" s="49"/>
    </row>
    <row r="29" spans="1:6" ht="15">
      <c r="A29" s="55" t="str">
        <f t="shared" ca="1" si="0"/>
        <v>882495075</v>
      </c>
      <c r="B29" s="67">
        <f t="shared" ca="1" si="1"/>
        <v>5</v>
      </c>
      <c r="C29" s="45">
        <f t="shared" ca="1" si="4"/>
        <v>49.9</v>
      </c>
      <c r="D29" s="64">
        <f t="shared" ca="1" si="3"/>
        <v>40253.053200000002</v>
      </c>
      <c r="E29" s="49"/>
    </row>
    <row r="30" spans="1:6" ht="15">
      <c r="A30" s="55" t="str">
        <f t="shared" ca="1" si="0"/>
        <v>886330948</v>
      </c>
      <c r="B30" s="67">
        <f t="shared" ca="1" si="1"/>
        <v>20</v>
      </c>
      <c r="C30" s="45">
        <f t="shared" ca="1" si="4"/>
        <v>70.599999999999994</v>
      </c>
      <c r="D30" s="64">
        <f t="shared" ca="1" si="3"/>
        <v>40436.483</v>
      </c>
      <c r="E30" s="49"/>
    </row>
    <row r="31" spans="1:6" ht="15">
      <c r="A31" s="55" t="str">
        <f t="shared" ca="1" si="0"/>
        <v>888798175</v>
      </c>
      <c r="B31" s="67">
        <f t="shared" ca="1" si="1"/>
        <v>20</v>
      </c>
      <c r="C31" s="45">
        <f t="shared" ca="1" si="4"/>
        <v>187.5</v>
      </c>
      <c r="D31" s="64">
        <f t="shared" ca="1" si="3"/>
        <v>40189.063300000002</v>
      </c>
      <c r="E31" s="49"/>
    </row>
    <row r="32" spans="1:6" ht="15">
      <c r="A32" s="55" t="str">
        <f t="shared" ca="1" si="0"/>
        <v>882610574</v>
      </c>
      <c r="B32" s="67">
        <f t="shared" ca="1" si="1"/>
        <v>20</v>
      </c>
      <c r="C32" s="45">
        <f t="shared" ca="1" si="4"/>
        <v>166</v>
      </c>
      <c r="D32" s="64">
        <f t="shared" ca="1" si="3"/>
        <v>40523.7981</v>
      </c>
      <c r="E32" s="49"/>
    </row>
    <row r="33" spans="1:5" ht="15">
      <c r="A33" s="55" t="str">
        <f t="shared" ca="1" si="0"/>
        <v>882328958</v>
      </c>
      <c r="B33" s="67">
        <f t="shared" ca="1" si="1"/>
        <v>20</v>
      </c>
      <c r="C33" s="45">
        <f t="shared" ca="1" si="4"/>
        <v>46.1</v>
      </c>
      <c r="D33" s="64">
        <f t="shared" ca="1" si="3"/>
        <v>40390.483</v>
      </c>
      <c r="E33" s="49"/>
    </row>
    <row r="34" spans="1:5" ht="15">
      <c r="A34" s="55" t="str">
        <f t="shared" ca="1" si="0"/>
        <v>884874235</v>
      </c>
      <c r="B34" s="67">
        <f t="shared" ca="1" si="1"/>
        <v>20</v>
      </c>
      <c r="C34" s="45">
        <f t="shared" ca="1" si="4"/>
        <v>45.2</v>
      </c>
      <c r="D34" s="64">
        <f t="shared" ca="1" si="3"/>
        <v>40367.218200000003</v>
      </c>
      <c r="E34" s="49"/>
    </row>
    <row r="35" spans="1:5" ht="15">
      <c r="A35" s="55" t="str">
        <f t="shared" ca="1" si="0"/>
        <v>882763774</v>
      </c>
      <c r="B35" s="67">
        <f t="shared" ca="1" si="1"/>
        <v>20</v>
      </c>
      <c r="C35" s="45">
        <f t="shared" ca="1" si="4"/>
        <v>14.1</v>
      </c>
      <c r="D35" s="64">
        <f t="shared" ca="1" si="3"/>
        <v>40398.929700000001</v>
      </c>
      <c r="E35" s="49"/>
    </row>
    <row r="36" spans="1:5" ht="15">
      <c r="A36" s="55" t="str">
        <f t="shared" ca="1" si="0"/>
        <v>886295477</v>
      </c>
      <c r="B36" s="67">
        <f t="shared" ca="1" si="1"/>
        <v>5</v>
      </c>
      <c r="C36" s="45">
        <f t="shared" ca="1" si="4"/>
        <v>101.4</v>
      </c>
      <c r="D36" s="64">
        <f t="shared" ca="1" si="3"/>
        <v>40479.931100000002</v>
      </c>
      <c r="E36" s="49"/>
    </row>
    <row r="37" spans="1:5" ht="15">
      <c r="A37" s="55" t="str">
        <f t="shared" ca="1" si="0"/>
        <v>886546446</v>
      </c>
      <c r="B37" s="67">
        <f t="shared" ca="1" si="1"/>
        <v>20</v>
      </c>
      <c r="C37" s="45">
        <f t="shared" ca="1" si="4"/>
        <v>198.7</v>
      </c>
      <c r="D37" s="64">
        <f t="shared" ca="1" si="3"/>
        <v>40406.0864</v>
      </c>
      <c r="E37" s="49"/>
    </row>
    <row r="38" spans="1:5" ht="15">
      <c r="A38" s="55" t="str">
        <f t="shared" ca="1" si="0"/>
        <v>880504899</v>
      </c>
      <c r="B38" s="67">
        <f t="shared" ca="1" si="1"/>
        <v>20</v>
      </c>
      <c r="C38" s="45">
        <f t="shared" ca="1" si="4"/>
        <v>81.7</v>
      </c>
      <c r="D38" s="64">
        <f t="shared" ca="1" si="3"/>
        <v>40289.1944</v>
      </c>
      <c r="E38" s="49"/>
    </row>
    <row r="39" spans="1:5" ht="15">
      <c r="A39" s="55" t="str">
        <f t="shared" ca="1" si="0"/>
        <v>884758068</v>
      </c>
      <c r="B39" s="67">
        <f t="shared" ca="1" si="1"/>
        <v>20</v>
      </c>
      <c r="C39" s="45">
        <f t="shared" ca="1" si="4"/>
        <v>188.8</v>
      </c>
      <c r="D39" s="64">
        <f t="shared" ca="1" si="3"/>
        <v>40272.515899999999</v>
      </c>
      <c r="E39" s="49"/>
    </row>
    <row r="40" spans="1:5" ht="15">
      <c r="A40" s="55" t="str">
        <f t="shared" ca="1" si="0"/>
        <v>888100023</v>
      </c>
      <c r="B40" s="67">
        <f t="shared" ca="1" si="1"/>
        <v>20</v>
      </c>
      <c r="C40" s="45">
        <f t="shared" ca="1" si="4"/>
        <v>107</v>
      </c>
      <c r="D40" s="64">
        <f t="shared" ca="1" si="3"/>
        <v>40359.086600000002</v>
      </c>
      <c r="E40" s="49"/>
    </row>
    <row r="41" spans="1:5" ht="15">
      <c r="A41" s="55" t="str">
        <f t="shared" ca="1" si="0"/>
        <v>882746100</v>
      </c>
      <c r="B41" s="67">
        <f t="shared" ca="1" si="1"/>
        <v>5</v>
      </c>
      <c r="C41" s="45">
        <f t="shared" ca="1" si="4"/>
        <v>176.9</v>
      </c>
      <c r="D41" s="64">
        <f t="shared" ca="1" si="3"/>
        <v>40364.444000000003</v>
      </c>
      <c r="E41" s="49"/>
    </row>
    <row r="42" spans="1:5" ht="15">
      <c r="A42" s="55" t="str">
        <f t="shared" ca="1" si="0"/>
        <v>880667942</v>
      </c>
      <c r="B42" s="67">
        <f t="shared" ca="1" si="1"/>
        <v>20</v>
      </c>
      <c r="C42" s="45">
        <f t="shared" ca="1" si="4"/>
        <v>37.4</v>
      </c>
      <c r="D42" s="64">
        <f t="shared" ca="1" si="3"/>
        <v>40229.115100000003</v>
      </c>
      <c r="E42" s="49"/>
    </row>
    <row r="43" spans="1:5" ht="15">
      <c r="A43" s="55" t="str">
        <f t="shared" ca="1" si="0"/>
        <v>886770318</v>
      </c>
      <c r="B43" s="67">
        <f t="shared" ca="1" si="1"/>
        <v>20</v>
      </c>
      <c r="C43" s="45">
        <f t="shared" ca="1" si="4"/>
        <v>181.5</v>
      </c>
      <c r="D43" s="64">
        <f t="shared" ca="1" si="3"/>
        <v>40371.059399999998</v>
      </c>
      <c r="E43" s="49"/>
    </row>
    <row r="44" spans="1:5" ht="15">
      <c r="A44" s="55" t="str">
        <f t="shared" ca="1" si="0"/>
        <v>882292035</v>
      </c>
      <c r="B44" s="67">
        <f t="shared" ca="1" si="1"/>
        <v>20</v>
      </c>
      <c r="C44" s="45">
        <f t="shared" ca="1" si="4"/>
        <v>162.1</v>
      </c>
      <c r="D44" s="64">
        <f t="shared" ca="1" si="3"/>
        <v>40287.032099999997</v>
      </c>
      <c r="E44" s="49"/>
    </row>
    <row r="45" spans="1:5" ht="15">
      <c r="A45" s="55" t="str">
        <f t="shared" ca="1" si="0"/>
        <v>882205187</v>
      </c>
      <c r="B45" s="67">
        <f t="shared" ca="1" si="1"/>
        <v>5</v>
      </c>
      <c r="C45" s="45">
        <f t="shared" ca="1" si="4"/>
        <v>181</v>
      </c>
      <c r="D45" s="64">
        <f t="shared" ca="1" si="3"/>
        <v>40442.559399999998</v>
      </c>
      <c r="E45" s="49"/>
    </row>
    <row r="46" spans="1:5" ht="15">
      <c r="A46" s="55" t="str">
        <f t="shared" ca="1" si="0"/>
        <v>888581372</v>
      </c>
      <c r="B46" s="67">
        <f t="shared" ca="1" si="1"/>
        <v>5</v>
      </c>
      <c r="C46" s="45">
        <f t="shared" ca="1" si="4"/>
        <v>118.6</v>
      </c>
      <c r="D46" s="64">
        <f t="shared" ca="1" si="3"/>
        <v>40491.532700000003</v>
      </c>
      <c r="E46" s="49"/>
    </row>
    <row r="47" spans="1:5" ht="15">
      <c r="A47" s="55" t="str">
        <f t="shared" ca="1" si="0"/>
        <v>884553035</v>
      </c>
      <c r="B47" s="67">
        <f t="shared" ca="1" si="1"/>
        <v>20</v>
      </c>
      <c r="C47" s="45">
        <f t="shared" ca="1" si="4"/>
        <v>123.2</v>
      </c>
      <c r="D47" s="64">
        <f t="shared" ca="1" si="3"/>
        <v>40534.426399999997</v>
      </c>
      <c r="E47" s="49"/>
    </row>
    <row r="48" spans="1:5" ht="15">
      <c r="A48" s="55" t="str">
        <f t="shared" ca="1" si="0"/>
        <v>886626195</v>
      </c>
      <c r="B48" s="67">
        <f t="shared" ca="1" si="1"/>
        <v>20</v>
      </c>
      <c r="C48" s="45">
        <f t="shared" ca="1" si="4"/>
        <v>44.7</v>
      </c>
      <c r="D48" s="64">
        <f t="shared" ca="1" si="3"/>
        <v>40351.198900000003</v>
      </c>
      <c r="E48" s="49"/>
    </row>
    <row r="49" spans="1:5" ht="15">
      <c r="A49" s="55" t="str">
        <f t="shared" ca="1" si="0"/>
        <v>886465910</v>
      </c>
      <c r="B49" s="67">
        <f t="shared" ca="1" si="1"/>
        <v>5</v>
      </c>
      <c r="C49" s="45">
        <f t="shared" ca="1" si="4"/>
        <v>172.8</v>
      </c>
      <c r="D49" s="64">
        <f t="shared" ca="1" si="3"/>
        <v>40469.279300000002</v>
      </c>
      <c r="E49" s="49"/>
    </row>
    <row r="50" spans="1:5" ht="15">
      <c r="A50" s="55" t="str">
        <f t="shared" ca="1" si="0"/>
        <v>886133929</v>
      </c>
      <c r="B50" s="67">
        <f t="shared" ca="1" si="1"/>
        <v>5</v>
      </c>
      <c r="C50" s="45">
        <f t="shared" ca="1" si="4"/>
        <v>89.8</v>
      </c>
      <c r="D50" s="64">
        <f t="shared" ca="1" si="3"/>
        <v>40293.358399999997</v>
      </c>
      <c r="E50" s="49"/>
    </row>
    <row r="51" spans="1:5" ht="15.75" thickBot="1">
      <c r="A51" s="55" t="str">
        <f t="shared" ca="1" si="0"/>
        <v>882691853</v>
      </c>
      <c r="B51" s="67">
        <f t="shared" ca="1" si="1"/>
        <v>5</v>
      </c>
      <c r="C51" s="51">
        <f t="shared" ca="1" si="4"/>
        <v>30</v>
      </c>
      <c r="D51" s="65">
        <f t="shared" ca="1" si="3"/>
        <v>40475.777699999999</v>
      </c>
      <c r="E51" s="54"/>
    </row>
  </sheetData>
  <customSheetViews>
    <customSheetView guid="{3DF5E802-5CA5-43EF-BE6A-D6FCDA5F65F2}">
      <selection activeCell="D14" sqref="D14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1" t="s">
        <v>12</v>
      </c>
      <c r="I5" s="131"/>
    </row>
    <row r="6" spans="8:9" ht="18">
      <c r="H6" s="11">
        <f ca="1">ROUND(RAND()*1000+500,0)</f>
        <v>1268</v>
      </c>
      <c r="I6" s="10" t="s">
        <v>13</v>
      </c>
    </row>
    <row r="17" spans="5:9">
      <c r="I17" s="93"/>
    </row>
    <row r="18" spans="5:9" ht="13.5" thickBot="1"/>
    <row r="19" spans="5:9" ht="13.5" thickBot="1">
      <c r="E19" s="105" t="s">
        <v>14</v>
      </c>
      <c r="F19" s="130" t="s">
        <v>277</v>
      </c>
      <c r="G19" s="106" t="s">
        <v>15</v>
      </c>
      <c r="H19" s="107" t="s">
        <v>217</v>
      </c>
    </row>
    <row r="20" spans="5:9">
      <c r="E20" s="102">
        <v>1023652135</v>
      </c>
      <c r="F20" s="103">
        <f ca="1">ROUND(RAND()*16+3,0)</f>
        <v>17</v>
      </c>
      <c r="G20" s="104"/>
      <c r="H20" s="108"/>
    </row>
    <row r="21" spans="5:9">
      <c r="E21" s="97">
        <f>E20+13</f>
        <v>1023652148</v>
      </c>
      <c r="F21" s="9">
        <f t="shared" ref="F21:F43" ca="1" si="0">ROUND(RAND()*16+3,0)</f>
        <v>13</v>
      </c>
      <c r="G21" s="100"/>
      <c r="H21" s="109"/>
    </row>
    <row r="22" spans="5:9">
      <c r="E22" s="97">
        <v>1023652136</v>
      </c>
      <c r="F22" s="9">
        <f t="shared" ca="1" si="0"/>
        <v>14</v>
      </c>
      <c r="G22" s="100"/>
      <c r="H22" s="109"/>
    </row>
    <row r="23" spans="5:9">
      <c r="E23" s="97">
        <f>E22+13</f>
        <v>1023652149</v>
      </c>
      <c r="F23" s="9">
        <f t="shared" ca="1" si="0"/>
        <v>5</v>
      </c>
      <c r="G23" s="100"/>
      <c r="H23" s="109"/>
    </row>
    <row r="24" spans="5:9">
      <c r="E24" s="97">
        <v>1023652137</v>
      </c>
      <c r="F24" s="9">
        <f t="shared" ca="1" si="0"/>
        <v>4</v>
      </c>
      <c r="G24" s="100"/>
      <c r="H24" s="109"/>
    </row>
    <row r="25" spans="5:9">
      <c r="E25" s="97">
        <f>E24+13</f>
        <v>1023652150</v>
      </c>
      <c r="F25" s="9">
        <f t="shared" ca="1" si="0"/>
        <v>18</v>
      </c>
      <c r="G25" s="100"/>
      <c r="H25" s="109"/>
    </row>
    <row r="26" spans="5:9">
      <c r="E26" s="97">
        <v>1023652138</v>
      </c>
      <c r="F26" s="9">
        <f t="shared" ca="1" si="0"/>
        <v>7</v>
      </c>
      <c r="G26" s="100"/>
      <c r="H26" s="109"/>
    </row>
    <row r="27" spans="5:9">
      <c r="E27" s="97">
        <f>E26+13</f>
        <v>1023652151</v>
      </c>
      <c r="F27" s="9">
        <f t="shared" ca="1" si="0"/>
        <v>7</v>
      </c>
      <c r="G27" s="100"/>
      <c r="H27" s="109"/>
    </row>
    <row r="28" spans="5:9">
      <c r="E28" s="97">
        <v>1023652139</v>
      </c>
      <c r="F28" s="9">
        <f t="shared" ca="1" si="0"/>
        <v>16</v>
      </c>
      <c r="G28" s="100"/>
      <c r="H28" s="109"/>
    </row>
    <row r="29" spans="5:9">
      <c r="E29" s="97">
        <f>E28+13</f>
        <v>1023652152</v>
      </c>
      <c r="F29" s="9">
        <f t="shared" ca="1" si="0"/>
        <v>4</v>
      </c>
      <c r="G29" s="100"/>
      <c r="H29" s="109"/>
    </row>
    <row r="30" spans="5:9">
      <c r="E30" s="97">
        <v>1023652140</v>
      </c>
      <c r="F30" s="9">
        <f t="shared" ca="1" si="0"/>
        <v>3</v>
      </c>
      <c r="G30" s="100"/>
      <c r="H30" s="109"/>
    </row>
    <row r="31" spans="5:9">
      <c r="E31" s="97">
        <f>E30+13</f>
        <v>1023652153</v>
      </c>
      <c r="F31" s="9">
        <f t="shared" ca="1" si="0"/>
        <v>14</v>
      </c>
      <c r="G31" s="100"/>
      <c r="H31" s="109"/>
    </row>
    <row r="32" spans="5:9">
      <c r="E32" s="97">
        <v>1023652141</v>
      </c>
      <c r="F32" s="9">
        <f t="shared" ca="1" si="0"/>
        <v>16</v>
      </c>
      <c r="G32" s="100"/>
      <c r="H32" s="109"/>
    </row>
    <row r="33" spans="5:8">
      <c r="E33" s="97">
        <f>E32+13</f>
        <v>1023652154</v>
      </c>
      <c r="F33" s="9">
        <f t="shared" ca="1" si="0"/>
        <v>8</v>
      </c>
      <c r="G33" s="100"/>
      <c r="H33" s="109"/>
    </row>
    <row r="34" spans="5:8">
      <c r="E34" s="97">
        <v>1023652142</v>
      </c>
      <c r="F34" s="9">
        <f t="shared" ca="1" si="0"/>
        <v>19</v>
      </c>
      <c r="G34" s="100"/>
      <c r="H34" s="109"/>
    </row>
    <row r="35" spans="5:8">
      <c r="E35" s="97">
        <f>E34+13</f>
        <v>1023652155</v>
      </c>
      <c r="F35" s="9">
        <f t="shared" ca="1" si="0"/>
        <v>19</v>
      </c>
      <c r="G35" s="100"/>
      <c r="H35" s="109"/>
    </row>
    <row r="36" spans="5:8">
      <c r="E36" s="97">
        <v>1023652143</v>
      </c>
      <c r="F36" s="9">
        <f t="shared" ca="1" si="0"/>
        <v>10</v>
      </c>
      <c r="G36" s="100"/>
      <c r="H36" s="109"/>
    </row>
    <row r="37" spans="5:8">
      <c r="E37" s="97">
        <f>E36+13</f>
        <v>1023652156</v>
      </c>
      <c r="F37" s="9">
        <f t="shared" ca="1" si="0"/>
        <v>10</v>
      </c>
      <c r="G37" s="100"/>
      <c r="H37" s="109"/>
    </row>
    <row r="38" spans="5:8">
      <c r="E38" s="97">
        <v>1023652144</v>
      </c>
      <c r="F38" s="9">
        <f t="shared" ca="1" si="0"/>
        <v>18</v>
      </c>
      <c r="G38" s="100"/>
      <c r="H38" s="109"/>
    </row>
    <row r="39" spans="5:8">
      <c r="E39" s="97">
        <f>E38+13</f>
        <v>1023652157</v>
      </c>
      <c r="F39" s="9">
        <f t="shared" ca="1" si="0"/>
        <v>7</v>
      </c>
      <c r="G39" s="100"/>
      <c r="H39" s="109"/>
    </row>
    <row r="40" spans="5:8">
      <c r="E40" s="97">
        <v>1023652145</v>
      </c>
      <c r="F40" s="9">
        <f t="shared" ca="1" si="0"/>
        <v>16</v>
      </c>
      <c r="G40" s="100"/>
      <c r="H40" s="109"/>
    </row>
    <row r="41" spans="5:8">
      <c r="E41" s="97">
        <f>E40+13</f>
        <v>1023652158</v>
      </c>
      <c r="F41" s="9">
        <f t="shared" ca="1" si="0"/>
        <v>12</v>
      </c>
      <c r="G41" s="100"/>
      <c r="H41" s="109"/>
    </row>
    <row r="42" spans="5:8">
      <c r="E42" s="97">
        <v>1023652146</v>
      </c>
      <c r="F42" s="9">
        <f t="shared" ca="1" si="0"/>
        <v>7</v>
      </c>
      <c r="G42" s="100"/>
      <c r="H42" s="109"/>
    </row>
    <row r="43" spans="5:8" ht="13.5" thickBot="1">
      <c r="E43" s="98">
        <f>E42+13</f>
        <v>1023652159</v>
      </c>
      <c r="F43" s="99">
        <f t="shared" ca="1" si="0"/>
        <v>4</v>
      </c>
      <c r="G43" s="101"/>
      <c r="H43" s="110"/>
    </row>
  </sheetData>
  <customSheetViews>
    <customSheetView guid="{3DF5E802-5CA5-43EF-BE6A-D6FCDA5F65F2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4" hidden="1" customWidth="1"/>
    <col min="2" max="2" width="20.42578125" style="24" bestFit="1" customWidth="1"/>
    <col min="3" max="11" width="9.140625" style="24"/>
    <col min="12" max="13" width="9.140625" style="24" hidden="1" customWidth="1"/>
    <col min="14" max="16384" width="9.140625" style="24"/>
  </cols>
  <sheetData>
    <row r="1" spans="1:13" ht="13.5" thickBot="1">
      <c r="B1" s="30" t="s">
        <v>69</v>
      </c>
      <c r="C1" s="31" t="s">
        <v>138</v>
      </c>
    </row>
    <row r="2" spans="1:13">
      <c r="A2" s="24">
        <f ca="1">ROUND(RAND()*19+1,0)</f>
        <v>13</v>
      </c>
      <c r="B2" s="36" t="str">
        <f ca="1">VLOOKUP(A2,$L$2:$M$41,2)</f>
        <v>Zielona Góra</v>
      </c>
      <c r="C2" s="32"/>
      <c r="L2" s="24">
        <v>1</v>
      </c>
      <c r="M2" s="36" t="s">
        <v>71</v>
      </c>
    </row>
    <row r="3" spans="1:13">
      <c r="A3" s="24">
        <f ca="1">A2+1</f>
        <v>14</v>
      </c>
      <c r="B3" s="36" t="str">
        <f ca="1">VLOOKUP(A3,$L$2:$M$41,2)</f>
        <v>Olsztyn</v>
      </c>
      <c r="C3" s="33"/>
      <c r="L3" s="24">
        <v>2</v>
      </c>
      <c r="M3" s="36" t="s">
        <v>72</v>
      </c>
    </row>
    <row r="4" spans="1:13">
      <c r="A4" s="24">
        <f t="shared" ref="A4:A21" ca="1" si="0">A3+1</f>
        <v>15</v>
      </c>
      <c r="B4" s="36" t="str">
        <f t="shared" ref="B4:B21" ca="1" si="1">VLOOKUP(A4,$L$2:$M$41,2)</f>
        <v>Tomaszów Mazowiecki</v>
      </c>
      <c r="C4" s="33"/>
      <c r="L4" s="24">
        <v>3</v>
      </c>
      <c r="M4" s="36" t="s">
        <v>73</v>
      </c>
    </row>
    <row r="5" spans="1:13">
      <c r="A5" s="24">
        <f t="shared" ca="1" si="0"/>
        <v>16</v>
      </c>
      <c r="B5" s="36" t="str">
        <f t="shared" ca="1" si="1"/>
        <v>Częstochowa</v>
      </c>
      <c r="C5" s="33"/>
      <c r="L5" s="24">
        <v>4</v>
      </c>
      <c r="M5" s="36" t="s">
        <v>74</v>
      </c>
    </row>
    <row r="6" spans="1:13">
      <c r="A6" s="24">
        <f t="shared" ca="1" si="0"/>
        <v>17</v>
      </c>
      <c r="B6" s="36" t="str">
        <f t="shared" ca="1" si="1"/>
        <v>Zamość</v>
      </c>
      <c r="C6" s="33"/>
      <c r="L6" s="24">
        <v>5</v>
      </c>
      <c r="M6" s="36" t="s">
        <v>75</v>
      </c>
    </row>
    <row r="7" spans="1:13">
      <c r="A7" s="24">
        <f t="shared" ca="1" si="0"/>
        <v>18</v>
      </c>
      <c r="B7" s="36" t="str">
        <f t="shared" ca="1" si="1"/>
        <v>Białystok</v>
      </c>
      <c r="C7" s="33"/>
      <c r="L7" s="24">
        <v>6</v>
      </c>
      <c r="M7" s="36" t="s">
        <v>76</v>
      </c>
    </row>
    <row r="8" spans="1:13">
      <c r="A8" s="24">
        <f t="shared" ca="1" si="0"/>
        <v>19</v>
      </c>
      <c r="B8" s="36" t="str">
        <f t="shared" ca="1" si="1"/>
        <v>Sopot</v>
      </c>
      <c r="C8" s="33"/>
      <c r="L8" s="24">
        <v>7</v>
      </c>
      <c r="M8" s="36" t="s">
        <v>114</v>
      </c>
    </row>
    <row r="9" spans="1:13">
      <c r="A9" s="24">
        <f t="shared" ca="1" si="0"/>
        <v>20</v>
      </c>
      <c r="B9" s="36" t="str">
        <f t="shared" ca="1" si="1"/>
        <v>Zakopane</v>
      </c>
      <c r="C9" s="33"/>
      <c r="L9" s="24">
        <v>8</v>
      </c>
      <c r="M9" s="36" t="s">
        <v>115</v>
      </c>
    </row>
    <row r="10" spans="1:13">
      <c r="A10" s="24">
        <f t="shared" ca="1" si="0"/>
        <v>21</v>
      </c>
      <c r="B10" s="36" t="str">
        <f t="shared" ca="1" si="1"/>
        <v>Łódź</v>
      </c>
      <c r="C10" s="33"/>
      <c r="L10" s="24">
        <v>9</v>
      </c>
      <c r="M10" s="36" t="s">
        <v>116</v>
      </c>
    </row>
    <row r="11" spans="1:13">
      <c r="A11" s="24">
        <f t="shared" ca="1" si="0"/>
        <v>22</v>
      </c>
      <c r="B11" s="36" t="str">
        <f t="shared" ca="1" si="1"/>
        <v>Warszawa</v>
      </c>
      <c r="C11" s="33"/>
      <c r="L11" s="24">
        <v>10</v>
      </c>
      <c r="M11" s="36" t="s">
        <v>117</v>
      </c>
    </row>
    <row r="12" spans="1:13">
      <c r="A12" s="24">
        <f t="shared" ca="1" si="0"/>
        <v>23</v>
      </c>
      <c r="B12" s="36" t="str">
        <f t="shared" ca="1" si="1"/>
        <v>Poznań</v>
      </c>
      <c r="C12" s="33"/>
      <c r="L12" s="24">
        <v>11</v>
      </c>
      <c r="M12" s="36" t="s">
        <v>118</v>
      </c>
    </row>
    <row r="13" spans="1:13">
      <c r="A13" s="24">
        <f t="shared" ca="1" si="0"/>
        <v>24</v>
      </c>
      <c r="B13" s="36" t="str">
        <f t="shared" ca="1" si="1"/>
        <v>Kraków</v>
      </c>
      <c r="C13" s="33"/>
      <c r="L13" s="24">
        <v>12</v>
      </c>
      <c r="M13" s="36" t="s">
        <v>119</v>
      </c>
    </row>
    <row r="14" spans="1:13">
      <c r="A14" s="24">
        <f t="shared" ca="1" si="0"/>
        <v>25</v>
      </c>
      <c r="B14" s="36" t="str">
        <f t="shared" ca="1" si="1"/>
        <v>Szczecin</v>
      </c>
      <c r="C14" s="33"/>
      <c r="L14" s="24">
        <v>13</v>
      </c>
      <c r="M14" s="36" t="s">
        <v>120</v>
      </c>
    </row>
    <row r="15" spans="1:13">
      <c r="A15" s="24">
        <f t="shared" ca="1" si="0"/>
        <v>26</v>
      </c>
      <c r="B15" s="36" t="str">
        <f t="shared" ca="1" si="1"/>
        <v>Gdańsk</v>
      </c>
      <c r="C15" s="33"/>
      <c r="L15" s="24">
        <v>14</v>
      </c>
      <c r="M15" s="36" t="s">
        <v>121</v>
      </c>
    </row>
    <row r="16" spans="1:13">
      <c r="A16" s="24">
        <f t="shared" ca="1" si="0"/>
        <v>27</v>
      </c>
      <c r="B16" s="36" t="str">
        <f t="shared" ca="1" si="1"/>
        <v>Jaworzno</v>
      </c>
      <c r="C16" s="33"/>
      <c r="L16" s="24">
        <v>15</v>
      </c>
      <c r="M16" s="36" t="s">
        <v>122</v>
      </c>
    </row>
    <row r="17" spans="1:13">
      <c r="A17" s="24">
        <f t="shared" ca="1" si="0"/>
        <v>28</v>
      </c>
      <c r="B17" s="36" t="str">
        <f t="shared" ca="1" si="1"/>
        <v>Katowice</v>
      </c>
      <c r="C17" s="33"/>
      <c r="L17" s="24">
        <v>16</v>
      </c>
      <c r="M17" s="36" t="s">
        <v>123</v>
      </c>
    </row>
    <row r="18" spans="1:13">
      <c r="A18" s="24">
        <f t="shared" ca="1" si="0"/>
        <v>29</v>
      </c>
      <c r="B18" s="36" t="str">
        <f t="shared" ca="1" si="1"/>
        <v>Radom</v>
      </c>
      <c r="C18" s="33"/>
      <c r="L18" s="24">
        <v>17</v>
      </c>
      <c r="M18" s="36" t="s">
        <v>124</v>
      </c>
    </row>
    <row r="19" spans="1:13">
      <c r="A19" s="24">
        <f t="shared" ca="1" si="0"/>
        <v>30</v>
      </c>
      <c r="B19" s="36" t="str">
        <f t="shared" ca="1" si="1"/>
        <v>Kielce</v>
      </c>
      <c r="C19" s="33"/>
      <c r="L19" s="24">
        <v>18</v>
      </c>
      <c r="M19" s="36" t="s">
        <v>125</v>
      </c>
    </row>
    <row r="20" spans="1:13">
      <c r="A20" s="24">
        <f t="shared" ca="1" si="0"/>
        <v>31</v>
      </c>
      <c r="B20" s="36" t="str">
        <f t="shared" ca="1" si="1"/>
        <v>Gdynia</v>
      </c>
      <c r="C20" s="33"/>
      <c r="L20" s="24">
        <v>19</v>
      </c>
      <c r="M20" s="36" t="s">
        <v>126</v>
      </c>
    </row>
    <row r="21" spans="1:13">
      <c r="A21" s="24">
        <f t="shared" ca="1" si="0"/>
        <v>32</v>
      </c>
      <c r="B21" s="36" t="str">
        <f t="shared" ca="1" si="1"/>
        <v>Wrocław</v>
      </c>
      <c r="C21" s="33"/>
      <c r="L21" s="24">
        <v>20</v>
      </c>
      <c r="M21" s="36" t="s">
        <v>127</v>
      </c>
    </row>
    <row r="22" spans="1:13">
      <c r="B22" s="35"/>
      <c r="L22" s="24">
        <v>21</v>
      </c>
      <c r="M22" s="36" t="s">
        <v>71</v>
      </c>
    </row>
    <row r="23" spans="1:13"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L29" s="24">
        <v>28</v>
      </c>
      <c r="M29" s="36" t="s">
        <v>115</v>
      </c>
    </row>
    <row r="30" spans="1:13"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4" hidden="1" customWidth="1"/>
    <col min="2" max="2" width="20.42578125" style="24" bestFit="1" customWidth="1"/>
    <col min="3" max="11" width="9.140625" style="24"/>
    <col min="12" max="12" width="9.5703125" style="24" hidden="1" customWidth="1"/>
    <col min="13" max="13" width="13.42578125" style="24" hidden="1" customWidth="1"/>
    <col min="14" max="16384" width="9.140625" style="24"/>
  </cols>
  <sheetData>
    <row r="1" spans="1:13" ht="13.5" thickBot="1">
      <c r="B1" s="30" t="s">
        <v>278</v>
      </c>
      <c r="C1" s="31" t="s">
        <v>70</v>
      </c>
    </row>
    <row r="2" spans="1:13">
      <c r="A2" s="24">
        <f ca="1">ROUND(RAND()*19+1,0)</f>
        <v>19</v>
      </c>
      <c r="B2" s="36" t="str">
        <f ca="1">VLOOKUP(A2,$L$2:$M$41,2)</f>
        <v>piątek</v>
      </c>
      <c r="C2" s="32"/>
      <c r="L2" s="24">
        <v>1</v>
      </c>
      <c r="M2" s="36" t="s">
        <v>128</v>
      </c>
    </row>
    <row r="3" spans="1:13">
      <c r="A3" s="24">
        <f ca="1">A2+1</f>
        <v>20</v>
      </c>
      <c r="B3" s="36" t="str">
        <f ca="1">VLOOKUP(A3,$L$2:$M$41,2)</f>
        <v>sobota</v>
      </c>
      <c r="C3" s="33"/>
      <c r="L3" s="24">
        <v>2</v>
      </c>
      <c r="M3" s="36" t="s">
        <v>129</v>
      </c>
    </row>
    <row r="4" spans="1:13">
      <c r="A4" s="24">
        <f t="shared" ref="A4:A21" ca="1" si="0">A3+1</f>
        <v>21</v>
      </c>
      <c r="B4" s="36" t="str">
        <f t="shared" ref="B4:B21" ca="1" si="1">VLOOKUP(A4,$L$2:$M$41,2)</f>
        <v>niedziela</v>
      </c>
      <c r="C4" s="33"/>
      <c r="L4" s="24">
        <v>3</v>
      </c>
      <c r="M4" s="36" t="s">
        <v>79</v>
      </c>
    </row>
    <row r="5" spans="1:13">
      <c r="A5" s="24">
        <f t="shared" ca="1" si="0"/>
        <v>22</v>
      </c>
      <c r="B5" s="36" t="str">
        <f t="shared" ca="1" si="1"/>
        <v>pONiedziałek</v>
      </c>
      <c r="C5" s="33"/>
      <c r="L5" s="24">
        <v>4</v>
      </c>
      <c r="M5" s="36" t="s">
        <v>130</v>
      </c>
    </row>
    <row r="6" spans="1:13">
      <c r="A6" s="24">
        <f t="shared" ca="1" si="0"/>
        <v>23</v>
      </c>
      <c r="B6" s="36" t="str">
        <f t="shared" ca="1" si="1"/>
        <v>wtorek</v>
      </c>
      <c r="C6" s="33"/>
      <c r="L6" s="24">
        <v>5</v>
      </c>
      <c r="M6" s="36" t="s">
        <v>81</v>
      </c>
    </row>
    <row r="7" spans="1:13">
      <c r="A7" s="24">
        <f t="shared" ca="1" si="0"/>
        <v>24</v>
      </c>
      <c r="B7" s="36" t="str">
        <f t="shared" ca="1" si="1"/>
        <v>środa</v>
      </c>
      <c r="C7" s="33"/>
      <c r="L7" s="24">
        <v>6</v>
      </c>
      <c r="M7" s="36" t="s">
        <v>82</v>
      </c>
    </row>
    <row r="8" spans="1:13">
      <c r="A8" s="24">
        <f t="shared" ca="1" si="0"/>
        <v>25</v>
      </c>
      <c r="B8" s="36" t="str">
        <f t="shared" ca="1" si="1"/>
        <v>czwartek</v>
      </c>
      <c r="C8" s="33"/>
      <c r="L8" s="24">
        <v>7</v>
      </c>
      <c r="M8" s="36" t="s">
        <v>83</v>
      </c>
    </row>
    <row r="9" spans="1:13">
      <c r="A9" s="24">
        <f t="shared" ca="1" si="0"/>
        <v>26</v>
      </c>
      <c r="B9" s="36" t="str">
        <f t="shared" ca="1" si="1"/>
        <v>pIĄtek</v>
      </c>
      <c r="C9" s="33"/>
      <c r="L9" s="24">
        <v>8</v>
      </c>
      <c r="M9" s="36" t="s">
        <v>77</v>
      </c>
    </row>
    <row r="10" spans="1:13">
      <c r="A10" s="24">
        <f t="shared" ca="1" si="0"/>
        <v>27</v>
      </c>
      <c r="B10" s="36" t="str">
        <f t="shared" ca="1" si="1"/>
        <v>sobota</v>
      </c>
      <c r="C10" s="33"/>
      <c r="L10" s="24">
        <v>9</v>
      </c>
      <c r="M10" s="36" t="s">
        <v>78</v>
      </c>
    </row>
    <row r="11" spans="1:13">
      <c r="A11" s="24">
        <f t="shared" ca="1" si="0"/>
        <v>28</v>
      </c>
      <c r="B11" s="36" t="str">
        <f t="shared" ca="1" si="1"/>
        <v>niedziela</v>
      </c>
      <c r="C11" s="33"/>
      <c r="L11" s="24">
        <v>10</v>
      </c>
      <c r="M11" s="36" t="s">
        <v>79</v>
      </c>
    </row>
    <row r="12" spans="1:13">
      <c r="A12" s="24">
        <f t="shared" ca="1" si="0"/>
        <v>29</v>
      </c>
      <c r="B12" s="36" t="str">
        <f t="shared" ca="1" si="1"/>
        <v>Poniedziałek</v>
      </c>
      <c r="C12" s="33"/>
      <c r="L12" s="24">
        <v>11</v>
      </c>
      <c r="M12" s="36" t="s">
        <v>80</v>
      </c>
    </row>
    <row r="13" spans="1:13">
      <c r="A13" s="24">
        <f t="shared" ca="1" si="0"/>
        <v>30</v>
      </c>
      <c r="B13" s="36" t="str">
        <f t="shared" ca="1" si="1"/>
        <v>wTorek</v>
      </c>
      <c r="C13" s="33"/>
      <c r="L13" s="24">
        <v>12</v>
      </c>
      <c r="M13" s="36" t="s">
        <v>81</v>
      </c>
    </row>
    <row r="14" spans="1:13">
      <c r="A14" s="24">
        <f t="shared" ca="1" si="0"/>
        <v>31</v>
      </c>
      <c r="B14" s="36" t="str">
        <f t="shared" ca="1" si="1"/>
        <v>ŚROda</v>
      </c>
      <c r="C14" s="33"/>
      <c r="L14" s="24">
        <v>13</v>
      </c>
      <c r="M14" s="36" t="s">
        <v>137</v>
      </c>
    </row>
    <row r="15" spans="1:13">
      <c r="A15" s="24">
        <f t="shared" ca="1" si="0"/>
        <v>32</v>
      </c>
      <c r="B15" s="36" t="str">
        <f t="shared" ca="1" si="1"/>
        <v>czwartek</v>
      </c>
      <c r="C15" s="33"/>
      <c r="L15" s="24">
        <v>14</v>
      </c>
      <c r="M15" s="36" t="s">
        <v>83</v>
      </c>
    </row>
    <row r="16" spans="1:13">
      <c r="A16" s="24">
        <f t="shared" ca="1" si="0"/>
        <v>33</v>
      </c>
      <c r="B16" s="36" t="str">
        <f t="shared" ca="1" si="1"/>
        <v>piątek</v>
      </c>
      <c r="C16" s="33"/>
      <c r="L16" s="24">
        <v>15</v>
      </c>
      <c r="M16" s="36" t="s">
        <v>77</v>
      </c>
    </row>
    <row r="17" spans="1:13">
      <c r="A17" s="24">
        <f t="shared" ca="1" si="0"/>
        <v>34</v>
      </c>
      <c r="B17" s="36" t="str">
        <f t="shared" ca="1" si="1"/>
        <v>sobota</v>
      </c>
      <c r="C17" s="33"/>
      <c r="L17" s="24">
        <v>16</v>
      </c>
      <c r="M17" s="36" t="s">
        <v>78</v>
      </c>
    </row>
    <row r="18" spans="1:13">
      <c r="A18" s="24">
        <f t="shared" ca="1" si="0"/>
        <v>35</v>
      </c>
      <c r="B18" s="36" t="str">
        <f t="shared" ca="1" si="1"/>
        <v>niedziela</v>
      </c>
      <c r="C18" s="33"/>
      <c r="L18" s="24">
        <v>17</v>
      </c>
      <c r="M18" s="36" t="s">
        <v>79</v>
      </c>
    </row>
    <row r="19" spans="1:13">
      <c r="A19" s="24">
        <f t="shared" ca="1" si="0"/>
        <v>36</v>
      </c>
      <c r="B19" s="36" t="str">
        <f t="shared" ca="1" si="1"/>
        <v>poniedziałek</v>
      </c>
      <c r="C19" s="33"/>
      <c r="L19" s="24">
        <v>18</v>
      </c>
      <c r="M19" s="36" t="s">
        <v>131</v>
      </c>
    </row>
    <row r="20" spans="1:13">
      <c r="A20" s="24">
        <f t="shared" ca="1" si="0"/>
        <v>37</v>
      </c>
      <c r="B20" s="36" t="str">
        <f t="shared" ca="1" si="1"/>
        <v>wtorek</v>
      </c>
      <c r="C20" s="33"/>
      <c r="L20" s="24">
        <v>19</v>
      </c>
      <c r="M20" s="36" t="s">
        <v>81</v>
      </c>
    </row>
    <row r="21" spans="1:13">
      <c r="A21" s="24">
        <f t="shared" ca="1" si="0"/>
        <v>38</v>
      </c>
      <c r="B21" s="36" t="str">
        <f t="shared" ca="1" si="1"/>
        <v>środa</v>
      </c>
      <c r="C21" s="33"/>
      <c r="L21" s="24">
        <v>20</v>
      </c>
      <c r="M21" s="36" t="s">
        <v>82</v>
      </c>
    </row>
    <row r="22" spans="1:13">
      <c r="B22" s="35"/>
      <c r="L22" s="24">
        <v>21</v>
      </c>
      <c r="M22" s="36" t="s">
        <v>83</v>
      </c>
    </row>
    <row r="23" spans="1:13">
      <c r="B23" s="35"/>
      <c r="L23" s="24">
        <v>22</v>
      </c>
      <c r="M23" s="36" t="s">
        <v>132</v>
      </c>
    </row>
    <row r="24" spans="1:13">
      <c r="B24" s="35"/>
      <c r="L24" s="24">
        <v>23</v>
      </c>
      <c r="M24" s="36" t="s">
        <v>78</v>
      </c>
    </row>
    <row r="25" spans="1:13">
      <c r="B25" s="35"/>
      <c r="L25" s="24">
        <v>24</v>
      </c>
      <c r="M25" s="36" t="s">
        <v>79</v>
      </c>
    </row>
    <row r="26" spans="1:13">
      <c r="B26" s="35"/>
      <c r="L26" s="24">
        <v>25</v>
      </c>
      <c r="M26" s="36" t="s">
        <v>80</v>
      </c>
    </row>
    <row r="27" spans="1:13">
      <c r="L27" s="24">
        <v>26</v>
      </c>
      <c r="M27" s="36" t="s">
        <v>133</v>
      </c>
    </row>
    <row r="28" spans="1:13">
      <c r="L28" s="24">
        <v>27</v>
      </c>
      <c r="M28" s="36" t="s">
        <v>82</v>
      </c>
    </row>
    <row r="29" spans="1:13">
      <c r="L29" s="24">
        <v>28</v>
      </c>
      <c r="M29" s="36" t="s">
        <v>83</v>
      </c>
    </row>
    <row r="30" spans="1:13">
      <c r="L30" s="24">
        <v>29</v>
      </c>
      <c r="M30" s="36" t="s">
        <v>134</v>
      </c>
    </row>
    <row r="31" spans="1:13">
      <c r="L31" s="24">
        <v>30</v>
      </c>
      <c r="M31" s="36" t="s">
        <v>135</v>
      </c>
    </row>
    <row r="32" spans="1:13">
      <c r="L32" s="24">
        <v>31</v>
      </c>
      <c r="M32" s="36" t="s">
        <v>136</v>
      </c>
    </row>
    <row r="33" spans="12:13">
      <c r="L33" s="24">
        <v>32</v>
      </c>
      <c r="M33" s="36" t="s">
        <v>80</v>
      </c>
    </row>
    <row r="34" spans="12:13">
      <c r="L34" s="24">
        <v>33</v>
      </c>
      <c r="M34" s="36" t="s">
        <v>81</v>
      </c>
    </row>
    <row r="35" spans="12:13">
      <c r="L35" s="24">
        <v>34</v>
      </c>
      <c r="M35" s="36" t="s">
        <v>82</v>
      </c>
    </row>
    <row r="36" spans="12:13">
      <c r="L36" s="24">
        <v>35</v>
      </c>
      <c r="M36" s="36" t="s">
        <v>83</v>
      </c>
    </row>
    <row r="37" spans="12:13">
      <c r="L37" s="24">
        <v>36</v>
      </c>
      <c r="M37" s="36" t="s">
        <v>77</v>
      </c>
    </row>
    <row r="38" spans="12:13">
      <c r="L38" s="24">
        <v>37</v>
      </c>
      <c r="M38" s="36" t="s">
        <v>78</v>
      </c>
    </row>
    <row r="39" spans="12:13">
      <c r="L39" s="24">
        <v>38</v>
      </c>
      <c r="M39" s="36" t="s">
        <v>79</v>
      </c>
    </row>
    <row r="40" spans="12:13">
      <c r="L40" s="24">
        <v>39</v>
      </c>
      <c r="M40" s="36" t="s">
        <v>80</v>
      </c>
    </row>
    <row r="41" spans="12:13">
      <c r="L41" s="24">
        <v>40</v>
      </c>
      <c r="M41" s="36" t="s">
        <v>81</v>
      </c>
    </row>
  </sheetData>
  <customSheetViews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4" hidden="1" customWidth="1"/>
    <col min="2" max="2" width="12.85546875" style="24" bestFit="1" customWidth="1"/>
    <col min="3" max="3" width="20.42578125" style="24" bestFit="1" customWidth="1"/>
    <col min="4" max="12" width="9.140625" style="24"/>
    <col min="13" max="13" width="12" style="24" hidden="1" customWidth="1"/>
    <col min="14" max="14" width="11.28515625" style="24" hidden="1" customWidth="1"/>
    <col min="15" max="16384" width="9.140625" style="24"/>
  </cols>
  <sheetData>
    <row r="1" spans="1:14" ht="13.5" thickBot="1">
      <c r="B1" s="28" t="s">
        <v>140</v>
      </c>
      <c r="C1" s="36" t="s">
        <v>0</v>
      </c>
      <c r="D1" s="74" t="s">
        <v>139</v>
      </c>
    </row>
    <row r="2" spans="1:14">
      <c r="A2" s="24">
        <f ca="1">ROUND(RAND()*19+1,0)</f>
        <v>12</v>
      </c>
      <c r="B2" s="28">
        <f ca="1">ROUND(RAND()*20+1989,0)</f>
        <v>1993</v>
      </c>
      <c r="C2" s="36" t="str">
        <f ca="1">VLOOKUP(A2,$M$2:$N$41,2)</f>
        <v>Jarosław</v>
      </c>
      <c r="D2" s="32"/>
      <c r="M2" s="24">
        <v>1</v>
      </c>
      <c r="N2" s="1" t="s">
        <v>1</v>
      </c>
    </row>
    <row r="3" spans="1:14">
      <c r="A3" s="24">
        <f ca="1">A2+1</f>
        <v>13</v>
      </c>
      <c r="B3" s="28">
        <f t="shared" ref="B3:B21" ca="1" si="0">ROUND(RAND()*20+1989,0)</f>
        <v>1998</v>
      </c>
      <c r="C3" s="36" t="str">
        <f ca="1">VLOOKUP(A3,$M$2:$N$41,2)</f>
        <v>Andrzej</v>
      </c>
      <c r="D3" s="33"/>
      <c r="M3" s="24">
        <v>2</v>
      </c>
      <c r="N3" s="1" t="s">
        <v>2</v>
      </c>
    </row>
    <row r="4" spans="1:14">
      <c r="A4" s="24">
        <f t="shared" ref="A4:A21" ca="1" si="1">A3+1</f>
        <v>14</v>
      </c>
      <c r="B4" s="28">
        <f t="shared" ca="1" si="0"/>
        <v>1999</v>
      </c>
      <c r="C4" s="36" t="str">
        <f t="shared" ref="C4:C21" ca="1" si="2">VLOOKUP(A4,$M$2:$N$41,2)</f>
        <v>Maciej</v>
      </c>
      <c r="D4" s="33"/>
      <c r="M4" s="24">
        <v>3</v>
      </c>
      <c r="N4" s="73" t="s">
        <v>3</v>
      </c>
    </row>
    <row r="5" spans="1:14">
      <c r="A5" s="24">
        <f t="shared" ca="1" si="1"/>
        <v>15</v>
      </c>
      <c r="B5" s="28">
        <f t="shared" ca="1" si="0"/>
        <v>1994</v>
      </c>
      <c r="C5" s="36" t="str">
        <f t="shared" ca="1" si="2"/>
        <v>Katarzyna</v>
      </c>
      <c r="D5" s="33"/>
      <c r="M5" s="24">
        <v>4</v>
      </c>
      <c r="N5" s="1" t="s">
        <v>4</v>
      </c>
    </row>
    <row r="6" spans="1:14">
      <c r="A6" s="24">
        <f t="shared" ca="1" si="1"/>
        <v>16</v>
      </c>
      <c r="B6" s="28">
        <f t="shared" ca="1" si="0"/>
        <v>2001</v>
      </c>
      <c r="C6" s="36" t="str">
        <f t="shared" ca="1" si="2"/>
        <v>Justyna</v>
      </c>
      <c r="D6" s="33"/>
      <c r="M6" s="24">
        <v>5</v>
      </c>
      <c r="N6" s="1" t="s">
        <v>5</v>
      </c>
    </row>
    <row r="7" spans="1:14">
      <c r="A7" s="24">
        <f t="shared" ca="1" si="1"/>
        <v>17</v>
      </c>
      <c r="B7" s="28">
        <f t="shared" ca="1" si="0"/>
        <v>2003</v>
      </c>
      <c r="C7" s="36" t="str">
        <f t="shared" ca="1" si="2"/>
        <v>Monika</v>
      </c>
      <c r="D7" s="33"/>
      <c r="M7" s="24">
        <v>6</v>
      </c>
      <c r="N7" s="1" t="s">
        <v>6</v>
      </c>
    </row>
    <row r="8" spans="1:14">
      <c r="A8" s="24">
        <f t="shared" ca="1" si="1"/>
        <v>18</v>
      </c>
      <c r="B8" s="28">
        <f t="shared" ca="1" si="0"/>
        <v>2007</v>
      </c>
      <c r="C8" s="36" t="str">
        <f t="shared" ca="1" si="2"/>
        <v>Maria</v>
      </c>
      <c r="D8" s="33"/>
      <c r="M8" s="24">
        <v>7</v>
      </c>
      <c r="N8" s="1" t="s">
        <v>7</v>
      </c>
    </row>
    <row r="9" spans="1:14">
      <c r="A9" s="24">
        <f t="shared" ca="1" si="1"/>
        <v>19</v>
      </c>
      <c r="B9" s="28">
        <f t="shared" ca="1" si="0"/>
        <v>1995</v>
      </c>
      <c r="C9" s="36" t="str">
        <f t="shared" ca="1" si="2"/>
        <v>Anna</v>
      </c>
      <c r="D9" s="33"/>
      <c r="M9" s="24">
        <v>8</v>
      </c>
      <c r="N9" s="1" t="s">
        <v>2</v>
      </c>
    </row>
    <row r="10" spans="1:14">
      <c r="A10" s="24">
        <f t="shared" ca="1" si="1"/>
        <v>20</v>
      </c>
      <c r="B10" s="28">
        <f t="shared" ca="1" si="0"/>
        <v>1992</v>
      </c>
      <c r="C10" s="36" t="str">
        <f t="shared" ca="1" si="2"/>
        <v>Monika</v>
      </c>
      <c r="D10" s="33"/>
      <c r="M10" s="24">
        <v>9</v>
      </c>
      <c r="N10" s="1" t="s">
        <v>8</v>
      </c>
    </row>
    <row r="11" spans="1:14">
      <c r="A11" s="24">
        <f t="shared" ca="1" si="1"/>
        <v>21</v>
      </c>
      <c r="B11" s="28">
        <f t="shared" ca="1" si="0"/>
        <v>2000</v>
      </c>
      <c r="C11" s="36" t="str">
        <f t="shared" ca="1" si="2"/>
        <v>Jarosław</v>
      </c>
      <c r="D11" s="33"/>
      <c r="M11" s="24">
        <v>10</v>
      </c>
      <c r="N11" s="1" t="s">
        <v>1</v>
      </c>
    </row>
    <row r="12" spans="1:14">
      <c r="A12" s="24">
        <f t="shared" ca="1" si="1"/>
        <v>22</v>
      </c>
      <c r="B12" s="28">
        <f t="shared" ca="1" si="0"/>
        <v>1994</v>
      </c>
      <c r="C12" s="36" t="str">
        <f t="shared" ca="1" si="2"/>
        <v>Andrzej</v>
      </c>
      <c r="D12" s="33"/>
      <c r="M12" s="24">
        <v>11</v>
      </c>
      <c r="N12" s="1" t="s">
        <v>2</v>
      </c>
    </row>
    <row r="13" spans="1:14">
      <c r="A13" s="24">
        <f t="shared" ca="1" si="1"/>
        <v>23</v>
      </c>
      <c r="B13" s="28">
        <f t="shared" ca="1" si="0"/>
        <v>1992</v>
      </c>
      <c r="C13" s="36" t="str">
        <f t="shared" ca="1" si="2"/>
        <v>Maciej</v>
      </c>
      <c r="D13" s="33"/>
      <c r="M13" s="24">
        <v>12</v>
      </c>
      <c r="N13" s="1" t="s">
        <v>3</v>
      </c>
    </row>
    <row r="14" spans="1:14">
      <c r="A14" s="24">
        <f t="shared" ca="1" si="1"/>
        <v>24</v>
      </c>
      <c r="B14" s="28">
        <f t="shared" ca="1" si="0"/>
        <v>2002</v>
      </c>
      <c r="C14" s="36" t="str">
        <f t="shared" ca="1" si="2"/>
        <v>Katarzyna</v>
      </c>
      <c r="D14" s="33"/>
      <c r="M14" s="24">
        <v>13</v>
      </c>
      <c r="N14" s="1" t="s">
        <v>4</v>
      </c>
    </row>
    <row r="15" spans="1:14">
      <c r="A15" s="24">
        <f t="shared" ca="1" si="1"/>
        <v>25</v>
      </c>
      <c r="B15" s="28">
        <f t="shared" ca="1" si="0"/>
        <v>1992</v>
      </c>
      <c r="C15" s="36" t="str">
        <f t="shared" ca="1" si="2"/>
        <v>Justyna</v>
      </c>
      <c r="D15" s="33"/>
      <c r="M15" s="24">
        <v>14</v>
      </c>
      <c r="N15" s="1" t="s">
        <v>5</v>
      </c>
    </row>
    <row r="16" spans="1:14">
      <c r="A16" s="24">
        <f t="shared" ca="1" si="1"/>
        <v>26</v>
      </c>
      <c r="B16" s="28">
        <f t="shared" ca="1" si="0"/>
        <v>1992</v>
      </c>
      <c r="C16" s="36" t="str">
        <f t="shared" ca="1" si="2"/>
        <v>Monika</v>
      </c>
      <c r="D16" s="33"/>
      <c r="M16" s="24">
        <v>15</v>
      </c>
      <c r="N16" s="1" t="s">
        <v>6</v>
      </c>
    </row>
    <row r="17" spans="1:14">
      <c r="A17" s="24">
        <f t="shared" ca="1" si="1"/>
        <v>27</v>
      </c>
      <c r="B17" s="28">
        <f t="shared" ca="1" si="0"/>
        <v>2006</v>
      </c>
      <c r="C17" s="36" t="str">
        <f t="shared" ca="1" si="2"/>
        <v>Maria</v>
      </c>
      <c r="D17" s="33"/>
      <c r="M17" s="24">
        <v>16</v>
      </c>
      <c r="N17" s="1" t="s">
        <v>7</v>
      </c>
    </row>
    <row r="18" spans="1:14">
      <c r="A18" s="24">
        <f t="shared" ca="1" si="1"/>
        <v>28</v>
      </c>
      <c r="B18" s="28">
        <f t="shared" ca="1" si="0"/>
        <v>1999</v>
      </c>
      <c r="C18" s="36" t="str">
        <f t="shared" ca="1" si="2"/>
        <v>Anna</v>
      </c>
      <c r="D18" s="33"/>
      <c r="M18" s="24">
        <v>17</v>
      </c>
      <c r="N18" s="1" t="s">
        <v>2</v>
      </c>
    </row>
    <row r="19" spans="1:14">
      <c r="A19" s="24">
        <f t="shared" ca="1" si="1"/>
        <v>29</v>
      </c>
      <c r="B19" s="28">
        <f t="shared" ca="1" si="0"/>
        <v>2001</v>
      </c>
      <c r="C19" s="36" t="str">
        <f t="shared" ca="1" si="2"/>
        <v>Monika</v>
      </c>
      <c r="D19" s="33"/>
      <c r="M19" s="24">
        <v>18</v>
      </c>
      <c r="N19" s="1" t="s">
        <v>8</v>
      </c>
    </row>
    <row r="20" spans="1:14">
      <c r="A20" s="24">
        <f t="shared" ca="1" si="1"/>
        <v>30</v>
      </c>
      <c r="B20" s="28">
        <f t="shared" ca="1" si="0"/>
        <v>2007</v>
      </c>
      <c r="C20" s="36" t="str">
        <f t="shared" ca="1" si="2"/>
        <v>Jarosław</v>
      </c>
      <c r="D20" s="33"/>
      <c r="M20" s="24">
        <v>19</v>
      </c>
      <c r="N20" s="1" t="s">
        <v>1</v>
      </c>
    </row>
    <row r="21" spans="1:14" ht="13.5" thickBot="1">
      <c r="A21" s="24">
        <f t="shared" ca="1" si="1"/>
        <v>31</v>
      </c>
      <c r="B21" s="28">
        <f t="shared" ca="1" si="0"/>
        <v>1990</v>
      </c>
      <c r="C21" s="36" t="str">
        <f t="shared" ca="1" si="2"/>
        <v>Andrzej</v>
      </c>
      <c r="D21" s="34"/>
      <c r="M21" s="24">
        <v>20</v>
      </c>
      <c r="N21" s="1" t="s">
        <v>2</v>
      </c>
    </row>
    <row r="22" spans="1:14">
      <c r="C22" s="35"/>
      <c r="M22" s="24">
        <v>21</v>
      </c>
      <c r="N22" s="1" t="s">
        <v>3</v>
      </c>
    </row>
    <row r="23" spans="1:14">
      <c r="C23" s="35"/>
      <c r="M23" s="24">
        <v>22</v>
      </c>
      <c r="N23" s="1" t="s">
        <v>4</v>
      </c>
    </row>
    <row r="24" spans="1:14">
      <c r="C24" s="35"/>
      <c r="M24" s="24">
        <v>23</v>
      </c>
      <c r="N24" s="1" t="s">
        <v>5</v>
      </c>
    </row>
    <row r="25" spans="1:14">
      <c r="C25" s="35"/>
      <c r="M25" s="24">
        <v>24</v>
      </c>
      <c r="N25" s="1" t="s">
        <v>6</v>
      </c>
    </row>
    <row r="26" spans="1:14">
      <c r="C26" s="35"/>
      <c r="M26" s="24">
        <v>25</v>
      </c>
      <c r="N26" s="1" t="s">
        <v>7</v>
      </c>
    </row>
    <row r="27" spans="1:14">
      <c r="M27" s="24">
        <v>26</v>
      </c>
      <c r="N27" s="1" t="s">
        <v>2</v>
      </c>
    </row>
    <row r="28" spans="1:14">
      <c r="M28" s="24">
        <v>27</v>
      </c>
      <c r="N28" s="1" t="s">
        <v>8</v>
      </c>
    </row>
    <row r="29" spans="1:14">
      <c r="M29" s="24">
        <v>28</v>
      </c>
      <c r="N29" s="1" t="s">
        <v>1</v>
      </c>
    </row>
    <row r="30" spans="1:14">
      <c r="M30" s="24">
        <v>29</v>
      </c>
      <c r="N30" s="1" t="s">
        <v>2</v>
      </c>
    </row>
    <row r="31" spans="1:14">
      <c r="M31" s="24">
        <v>30</v>
      </c>
      <c r="N31" s="1" t="s">
        <v>3</v>
      </c>
    </row>
    <row r="32" spans="1:14">
      <c r="M32" s="24">
        <v>31</v>
      </c>
      <c r="N32" s="1" t="s">
        <v>4</v>
      </c>
    </row>
    <row r="33" spans="13:14">
      <c r="M33" s="24">
        <v>32</v>
      </c>
      <c r="N33" s="1" t="s">
        <v>5</v>
      </c>
    </row>
    <row r="34" spans="13:14">
      <c r="M34" s="24">
        <v>33</v>
      </c>
      <c r="N34" s="1" t="s">
        <v>6</v>
      </c>
    </row>
    <row r="35" spans="13:14">
      <c r="M35" s="24">
        <v>34</v>
      </c>
      <c r="N35" s="1" t="s">
        <v>7</v>
      </c>
    </row>
    <row r="36" spans="13:14">
      <c r="M36" s="24">
        <v>35</v>
      </c>
      <c r="N36" s="1" t="s">
        <v>2</v>
      </c>
    </row>
    <row r="37" spans="13:14">
      <c r="M37" s="24">
        <v>36</v>
      </c>
      <c r="N37" s="1" t="s">
        <v>8</v>
      </c>
    </row>
    <row r="38" spans="13:14">
      <c r="M38" s="24">
        <v>37</v>
      </c>
      <c r="N38" s="1" t="s">
        <v>1</v>
      </c>
    </row>
    <row r="39" spans="13:14">
      <c r="M39" s="24">
        <v>38</v>
      </c>
      <c r="N39" s="1" t="s">
        <v>2</v>
      </c>
    </row>
    <row r="40" spans="13:14">
      <c r="M40" s="24">
        <v>39</v>
      </c>
      <c r="N40" s="1" t="s">
        <v>3</v>
      </c>
    </row>
    <row r="41" spans="13:14">
      <c r="M41" s="24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37" t="s">
        <v>142</v>
      </c>
      <c r="J2" s="138"/>
      <c r="K2" s="138"/>
      <c r="L2" s="138"/>
    </row>
    <row r="3" spans="1:12" ht="13.5" thickBot="1">
      <c r="A3" s="75" t="s">
        <v>143</v>
      </c>
      <c r="B3" s="76"/>
      <c r="C3" s="76"/>
      <c r="D3" s="76"/>
      <c r="E3" s="76"/>
      <c r="F3" s="75" t="s">
        <v>144</v>
      </c>
      <c r="G3" s="79">
        <f ca="1">ROUND(RAND()*180,0)</f>
        <v>62</v>
      </c>
      <c r="H3" s="75" t="s">
        <v>145</v>
      </c>
      <c r="I3" s="136"/>
      <c r="J3" s="136"/>
      <c r="K3" s="136"/>
      <c r="L3" s="136"/>
    </row>
    <row r="4" spans="1:12">
      <c r="A4" s="77" t="s">
        <v>146</v>
      </c>
      <c r="B4" s="77"/>
      <c r="C4" s="77"/>
      <c r="D4" s="77"/>
      <c r="E4" s="77"/>
      <c r="F4" s="77"/>
      <c r="G4" s="77"/>
      <c r="H4" s="77"/>
      <c r="I4" s="136"/>
      <c r="J4" s="136"/>
      <c r="K4" s="136"/>
      <c r="L4" s="136"/>
    </row>
    <row r="5" spans="1:12">
      <c r="A5" s="139" t="s">
        <v>149</v>
      </c>
      <c r="B5" s="139"/>
      <c r="C5" s="139"/>
      <c r="D5" s="139"/>
      <c r="E5" s="139"/>
      <c r="F5" s="139"/>
      <c r="G5" s="139"/>
      <c r="H5" s="139"/>
      <c r="I5" s="136"/>
      <c r="J5" s="136"/>
      <c r="K5" s="136"/>
      <c r="L5" s="136"/>
    </row>
    <row r="6" spans="1:12">
      <c r="I6" s="136"/>
      <c r="J6" s="136"/>
      <c r="K6" s="136"/>
      <c r="L6" s="136"/>
    </row>
    <row r="7" spans="1:12">
      <c r="I7" s="136"/>
      <c r="J7" s="136"/>
      <c r="K7" s="136"/>
      <c r="L7" s="136"/>
    </row>
    <row r="8" spans="1:12">
      <c r="I8" s="136"/>
      <c r="J8" s="136"/>
      <c r="K8" s="136"/>
      <c r="L8" s="136"/>
    </row>
    <row r="15" spans="1:12" ht="13.5" thickBot="1">
      <c r="I15" s="137" t="s">
        <v>142</v>
      </c>
      <c r="J15" s="138"/>
      <c r="K15" s="138"/>
      <c r="L15" s="138"/>
    </row>
    <row r="16" spans="1:12" ht="13.5" thickBot="1">
      <c r="A16" s="75" t="s">
        <v>143</v>
      </c>
      <c r="B16" s="76"/>
      <c r="C16" s="76"/>
      <c r="D16" s="76"/>
      <c r="E16" s="76"/>
      <c r="F16" s="78" t="s">
        <v>147</v>
      </c>
      <c r="G16" s="79">
        <f ca="1">ROUND(RAND()*180,0)</f>
        <v>120</v>
      </c>
      <c r="H16" s="75"/>
      <c r="I16" s="136"/>
      <c r="J16" s="136"/>
      <c r="K16" s="136"/>
      <c r="L16" s="136"/>
    </row>
    <row r="17" spans="1:12">
      <c r="A17" s="77" t="s">
        <v>148</v>
      </c>
      <c r="B17" s="77"/>
      <c r="C17" s="77"/>
      <c r="D17" s="77"/>
      <c r="E17" s="77"/>
      <c r="F17" s="77"/>
      <c r="G17" s="77"/>
      <c r="H17" s="77"/>
      <c r="I17" s="136"/>
      <c r="J17" s="136"/>
      <c r="K17" s="136"/>
      <c r="L17" s="136"/>
    </row>
    <row r="18" spans="1:12">
      <c r="A18" s="139" t="s">
        <v>150</v>
      </c>
      <c r="B18" s="139"/>
      <c r="C18" s="139"/>
      <c r="D18" s="139"/>
      <c r="E18" s="139"/>
      <c r="F18" s="139"/>
      <c r="G18" s="139"/>
      <c r="H18" s="139"/>
      <c r="I18" s="136"/>
      <c r="J18" s="136"/>
      <c r="K18" s="136"/>
      <c r="L18" s="136"/>
    </row>
    <row r="19" spans="1:12">
      <c r="I19" s="136"/>
      <c r="J19" s="136"/>
      <c r="K19" s="136"/>
      <c r="L19" s="136"/>
    </row>
    <row r="20" spans="1:12">
      <c r="I20" s="136"/>
      <c r="J20" s="136"/>
      <c r="K20" s="136"/>
      <c r="L20" s="136"/>
    </row>
    <row r="21" spans="1:12">
      <c r="I21" s="136"/>
      <c r="J21" s="136"/>
      <c r="K21" s="136"/>
      <c r="L21" s="136"/>
    </row>
    <row r="26" spans="1:12" ht="13.5" thickBot="1">
      <c r="I26" s="137" t="s">
        <v>142</v>
      </c>
      <c r="J26" s="138"/>
      <c r="K26" s="138"/>
      <c r="L26" s="138"/>
    </row>
    <row r="27" spans="1:12" ht="13.5" thickBot="1">
      <c r="A27" s="75" t="s">
        <v>143</v>
      </c>
      <c r="B27" s="76"/>
      <c r="C27" s="76"/>
      <c r="D27" s="76"/>
      <c r="E27" s="76"/>
      <c r="F27" s="75" t="s">
        <v>144</v>
      </c>
      <c r="G27" s="79">
        <f ca="1">ROUND(RAND()*180,0)</f>
        <v>72</v>
      </c>
      <c r="H27" s="75" t="s">
        <v>145</v>
      </c>
      <c r="I27" s="136"/>
      <c r="J27" s="136"/>
      <c r="K27" s="136"/>
      <c r="L27" s="136"/>
    </row>
    <row r="28" spans="1:12">
      <c r="A28" s="77" t="s">
        <v>146</v>
      </c>
      <c r="B28" s="77"/>
      <c r="C28" s="77"/>
      <c r="D28" s="77"/>
      <c r="E28" s="77"/>
      <c r="F28" s="77"/>
      <c r="G28" s="77"/>
      <c r="H28" s="77"/>
      <c r="I28" s="136"/>
      <c r="J28" s="136"/>
      <c r="K28" s="136"/>
      <c r="L28" s="136"/>
    </row>
    <row r="29" spans="1:12">
      <c r="A29" s="139" t="s">
        <v>218</v>
      </c>
      <c r="B29" s="139"/>
      <c r="C29" s="139"/>
      <c r="D29" s="139"/>
      <c r="E29" s="139"/>
      <c r="F29" s="139"/>
      <c r="G29" s="139"/>
      <c r="H29" s="139"/>
      <c r="I29" s="136"/>
      <c r="J29" s="136"/>
      <c r="K29" s="136"/>
      <c r="L29" s="136"/>
    </row>
    <row r="30" spans="1:12">
      <c r="I30" s="136"/>
      <c r="J30" s="136"/>
      <c r="K30" s="136"/>
      <c r="L30" s="136"/>
    </row>
    <row r="31" spans="1:12">
      <c r="I31" s="136"/>
      <c r="J31" s="136"/>
      <c r="K31" s="136"/>
      <c r="L31" s="136"/>
    </row>
    <row r="32" spans="1:12">
      <c r="I32" s="136"/>
      <c r="J32" s="136"/>
      <c r="K32" s="136"/>
      <c r="L32" s="136"/>
    </row>
    <row r="39" spans="1:12" ht="13.5" thickBot="1">
      <c r="I39" s="137" t="s">
        <v>142</v>
      </c>
      <c r="J39" s="138"/>
      <c r="K39" s="138"/>
      <c r="L39" s="138"/>
    </row>
    <row r="40" spans="1:12" ht="13.5" thickBot="1">
      <c r="A40" s="75" t="s">
        <v>143</v>
      </c>
      <c r="B40" s="76"/>
      <c r="C40" s="76"/>
      <c r="D40" s="76"/>
      <c r="E40" s="76"/>
      <c r="F40" s="78" t="s">
        <v>280</v>
      </c>
      <c r="G40" s="79">
        <f ca="1">ROUND(RAND()*180,0)</f>
        <v>148</v>
      </c>
      <c r="H40" s="75"/>
      <c r="I40" s="136"/>
      <c r="J40" s="136"/>
      <c r="K40" s="136"/>
      <c r="L40" s="136"/>
    </row>
    <row r="41" spans="1:12">
      <c r="A41" s="77" t="s">
        <v>148</v>
      </c>
      <c r="B41" s="77"/>
      <c r="C41" s="77"/>
      <c r="D41" s="77"/>
      <c r="E41" s="77"/>
      <c r="F41" s="77"/>
      <c r="G41" s="77"/>
      <c r="H41" s="77"/>
      <c r="I41" s="136"/>
      <c r="J41" s="136"/>
      <c r="K41" s="136"/>
      <c r="L41" s="136"/>
    </row>
    <row r="42" spans="1:12">
      <c r="A42" s="139" t="s">
        <v>219</v>
      </c>
      <c r="B42" s="139"/>
      <c r="C42" s="139"/>
      <c r="D42" s="139"/>
      <c r="E42" s="139"/>
      <c r="F42" s="139"/>
      <c r="G42" s="139"/>
      <c r="H42" s="139"/>
      <c r="I42" s="136"/>
      <c r="J42" s="136"/>
      <c r="K42" s="136"/>
      <c r="L42" s="136"/>
    </row>
    <row r="43" spans="1:12">
      <c r="I43" s="136"/>
      <c r="J43" s="136"/>
      <c r="K43" s="136"/>
      <c r="L43" s="136"/>
    </row>
    <row r="44" spans="1:12">
      <c r="I44" s="136"/>
      <c r="J44" s="136"/>
      <c r="K44" s="136"/>
      <c r="L44" s="136"/>
    </row>
    <row r="45" spans="1:12">
      <c r="I45" s="136"/>
      <c r="J45" s="136"/>
      <c r="K45" s="136"/>
      <c r="L45" s="136"/>
    </row>
    <row r="50" spans="1:12" ht="13.5" thickBot="1">
      <c r="I50" s="137" t="s">
        <v>142</v>
      </c>
      <c r="J50" s="138"/>
      <c r="K50" s="138"/>
      <c r="L50" s="138"/>
    </row>
    <row r="51" spans="1:12" ht="13.5" thickBot="1">
      <c r="A51" s="75" t="s">
        <v>143</v>
      </c>
      <c r="B51" s="76"/>
      <c r="C51" s="76"/>
      <c r="D51" s="76"/>
      <c r="E51" s="76"/>
      <c r="F51" s="78" t="s">
        <v>280</v>
      </c>
      <c r="G51" s="79">
        <f ca="1">ROUND(RAND()*180,0)</f>
        <v>166</v>
      </c>
      <c r="H51" s="75"/>
      <c r="I51" s="136"/>
      <c r="J51" s="136"/>
      <c r="K51" s="136"/>
      <c r="L51" s="136"/>
    </row>
    <row r="52" spans="1:12">
      <c r="A52" s="77" t="s">
        <v>148</v>
      </c>
      <c r="B52" s="77"/>
      <c r="C52" s="77"/>
      <c r="D52" s="77"/>
      <c r="E52" s="77"/>
      <c r="F52" s="77"/>
      <c r="G52" s="77"/>
      <c r="H52" s="77"/>
      <c r="I52" s="136"/>
      <c r="J52" s="136"/>
      <c r="K52" s="136"/>
      <c r="L52" s="136"/>
    </row>
    <row r="53" spans="1:12">
      <c r="A53" s="139" t="s">
        <v>220</v>
      </c>
      <c r="B53" s="139"/>
      <c r="C53" s="139"/>
      <c r="D53" s="139"/>
      <c r="E53" s="139"/>
      <c r="F53" s="139"/>
      <c r="G53" s="139"/>
      <c r="H53" s="139"/>
      <c r="I53" s="136"/>
      <c r="J53" s="136"/>
      <c r="K53" s="136"/>
      <c r="L53" s="136"/>
    </row>
    <row r="54" spans="1:12">
      <c r="I54" s="136"/>
      <c r="J54" s="136"/>
      <c r="K54" s="136"/>
      <c r="L54" s="136"/>
    </row>
    <row r="55" spans="1:12">
      <c r="I55" s="136"/>
      <c r="J55" s="136"/>
      <c r="K55" s="136"/>
      <c r="L55" s="136"/>
    </row>
    <row r="56" spans="1:12">
      <c r="I56" s="136"/>
      <c r="J56" s="136"/>
      <c r="K56" s="136"/>
      <c r="L56" s="136"/>
    </row>
  </sheetData>
  <customSheetViews>
    <customSheetView guid="{3DF5E802-5CA5-43EF-BE6A-D6FCDA5F65F2}" topLeftCell="A31">
      <pageMargins left="0.7" right="0.7" top="0.75" bottom="0.75" header="0.3" footer="0.3"/>
      <pageSetup paperSize="9" orientation="portrait" r:id="rId1"/>
    </customSheetView>
    <customSheetView guid="{F9B480CE-077C-416E-ACF9-56227F746F4A}" topLeftCell="A31">
      <pageMargins left="0.7" right="0.7" top="0.75" bottom="0.75" header="0.3" footer="0.3"/>
      <pageSetup paperSize="9" orientation="portrait" r:id="rId2"/>
    </customSheetView>
  </customSheetViews>
  <mergeCells count="15"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  <mergeCell ref="I3:L8"/>
    <mergeCell ref="I2:L2"/>
    <mergeCell ref="I15:L15"/>
    <mergeCell ref="I16:L21"/>
    <mergeCell ref="A5:H5"/>
    <mergeCell ref="A18:H18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4" bestFit="1" customWidth="1"/>
    <col min="2" max="2" width="12.85546875" style="24" customWidth="1"/>
    <col min="3" max="3" width="23" style="24" customWidth="1"/>
    <col min="4" max="11" width="9.140625" style="24"/>
    <col min="12" max="13" width="9.140625" style="24" hidden="1" customWidth="1"/>
    <col min="14" max="16384" width="9.140625" style="24"/>
  </cols>
  <sheetData>
    <row r="1" spans="1:13">
      <c r="A1" s="28" t="s">
        <v>19</v>
      </c>
      <c r="B1" s="30" t="s">
        <v>68</v>
      </c>
      <c r="C1" s="30" t="s">
        <v>151</v>
      </c>
    </row>
    <row r="2" spans="1:13">
      <c r="A2" s="80">
        <f ca="1">ROUND(RAND()*3286+40544,0)</f>
        <v>41264</v>
      </c>
      <c r="B2" s="30">
        <f t="shared" ref="B2:B21" ca="1" si="0">YEAR(A2)</f>
        <v>2012</v>
      </c>
      <c r="C2" s="81"/>
      <c r="L2" s="24">
        <v>1</v>
      </c>
      <c r="M2" s="36" t="s">
        <v>71</v>
      </c>
    </row>
    <row r="3" spans="1:13">
      <c r="A3" s="80">
        <f t="shared" ref="A3:A21" ca="1" si="1">ROUND(RAND()*3286+40544,0)</f>
        <v>42642</v>
      </c>
      <c r="B3" s="30">
        <f t="shared" ca="1" si="0"/>
        <v>2016</v>
      </c>
      <c r="C3" s="81"/>
      <c r="L3" s="24">
        <v>2</v>
      </c>
      <c r="M3" s="36" t="s">
        <v>72</v>
      </c>
    </row>
    <row r="4" spans="1:13">
      <c r="A4" s="80">
        <f t="shared" ca="1" si="1"/>
        <v>40911</v>
      </c>
      <c r="B4" s="30">
        <f t="shared" ca="1" si="0"/>
        <v>2012</v>
      </c>
      <c r="C4" s="81"/>
      <c r="L4" s="24">
        <v>3</v>
      </c>
      <c r="M4" s="36" t="s">
        <v>73</v>
      </c>
    </row>
    <row r="5" spans="1:13">
      <c r="A5" s="80">
        <f t="shared" ca="1" si="1"/>
        <v>43536</v>
      </c>
      <c r="B5" s="30">
        <f t="shared" ca="1" si="0"/>
        <v>2019</v>
      </c>
      <c r="C5" s="81"/>
      <c r="L5" s="24">
        <v>4</v>
      </c>
      <c r="M5" s="36" t="s">
        <v>74</v>
      </c>
    </row>
    <row r="6" spans="1:13">
      <c r="A6" s="80">
        <f t="shared" ca="1" si="1"/>
        <v>40596</v>
      </c>
      <c r="B6" s="30">
        <f t="shared" ca="1" si="0"/>
        <v>2011</v>
      </c>
      <c r="C6" s="81"/>
      <c r="L6" s="24">
        <v>5</v>
      </c>
      <c r="M6" s="36" t="s">
        <v>75</v>
      </c>
    </row>
    <row r="7" spans="1:13">
      <c r="A7" s="80">
        <f t="shared" ca="1" si="1"/>
        <v>41677</v>
      </c>
      <c r="B7" s="30">
        <f t="shared" ca="1" si="0"/>
        <v>2014</v>
      </c>
      <c r="C7" s="81"/>
      <c r="L7" s="24">
        <v>6</v>
      </c>
      <c r="M7" s="36" t="s">
        <v>76</v>
      </c>
    </row>
    <row r="8" spans="1:13">
      <c r="A8" s="80">
        <f t="shared" ca="1" si="1"/>
        <v>42294</v>
      </c>
      <c r="B8" s="30">
        <f t="shared" ca="1" si="0"/>
        <v>2015</v>
      </c>
      <c r="C8" s="81"/>
      <c r="L8" s="24">
        <v>7</v>
      </c>
      <c r="M8" s="36" t="s">
        <v>114</v>
      </c>
    </row>
    <row r="9" spans="1:13">
      <c r="A9" s="80">
        <f t="shared" ca="1" si="1"/>
        <v>40741</v>
      </c>
      <c r="B9" s="30">
        <f t="shared" ca="1" si="0"/>
        <v>2011</v>
      </c>
      <c r="C9" s="81"/>
      <c r="L9" s="24">
        <v>8</v>
      </c>
      <c r="M9" s="36" t="s">
        <v>115</v>
      </c>
    </row>
    <row r="10" spans="1:13">
      <c r="A10" s="80">
        <f t="shared" ca="1" si="1"/>
        <v>42641</v>
      </c>
      <c r="B10" s="30">
        <f t="shared" ca="1" si="0"/>
        <v>2016</v>
      </c>
      <c r="C10" s="81"/>
      <c r="L10" s="24">
        <v>9</v>
      </c>
      <c r="M10" s="36" t="s">
        <v>116</v>
      </c>
    </row>
    <row r="11" spans="1:13">
      <c r="A11" s="80">
        <f t="shared" ca="1" si="1"/>
        <v>43069</v>
      </c>
      <c r="B11" s="30">
        <f t="shared" ca="1" si="0"/>
        <v>2017</v>
      </c>
      <c r="C11" s="81"/>
      <c r="L11" s="24">
        <v>10</v>
      </c>
      <c r="M11" s="36" t="s">
        <v>117</v>
      </c>
    </row>
    <row r="12" spans="1:13">
      <c r="A12" s="80">
        <f t="shared" ca="1" si="1"/>
        <v>41284</v>
      </c>
      <c r="B12" s="30">
        <f t="shared" ca="1" si="0"/>
        <v>2013</v>
      </c>
      <c r="C12" s="81"/>
      <c r="L12" s="24">
        <v>11</v>
      </c>
      <c r="M12" s="36" t="s">
        <v>118</v>
      </c>
    </row>
    <row r="13" spans="1:13">
      <c r="A13" s="80">
        <f t="shared" ca="1" si="1"/>
        <v>42120</v>
      </c>
      <c r="B13" s="30">
        <f t="shared" ca="1" si="0"/>
        <v>2015</v>
      </c>
      <c r="C13" s="81"/>
      <c r="L13" s="24">
        <v>12</v>
      </c>
      <c r="M13" s="36" t="s">
        <v>119</v>
      </c>
    </row>
    <row r="14" spans="1:13">
      <c r="A14" s="80">
        <f t="shared" ca="1" si="1"/>
        <v>40544</v>
      </c>
      <c r="B14" s="30">
        <f t="shared" ca="1" si="0"/>
        <v>2011</v>
      </c>
      <c r="C14" s="81"/>
      <c r="L14" s="24">
        <v>13</v>
      </c>
      <c r="M14" s="36" t="s">
        <v>120</v>
      </c>
    </row>
    <row r="15" spans="1:13">
      <c r="A15" s="80">
        <f t="shared" ca="1" si="1"/>
        <v>42189</v>
      </c>
      <c r="B15" s="30">
        <f t="shared" ca="1" si="0"/>
        <v>2015</v>
      </c>
      <c r="C15" s="81"/>
      <c r="L15" s="24">
        <v>14</v>
      </c>
      <c r="M15" s="36" t="s">
        <v>121</v>
      </c>
    </row>
    <row r="16" spans="1:13">
      <c r="A16" s="80">
        <f t="shared" ca="1" si="1"/>
        <v>41468</v>
      </c>
      <c r="B16" s="30">
        <f t="shared" ca="1" si="0"/>
        <v>2013</v>
      </c>
      <c r="C16" s="81"/>
      <c r="L16" s="24">
        <v>15</v>
      </c>
      <c r="M16" s="36" t="s">
        <v>122</v>
      </c>
    </row>
    <row r="17" spans="1:13">
      <c r="A17" s="80">
        <f t="shared" ca="1" si="1"/>
        <v>41311</v>
      </c>
      <c r="B17" s="30">
        <f t="shared" ca="1" si="0"/>
        <v>2013</v>
      </c>
      <c r="C17" s="81"/>
      <c r="L17" s="24">
        <v>16</v>
      </c>
      <c r="M17" s="36" t="s">
        <v>123</v>
      </c>
    </row>
    <row r="18" spans="1:13">
      <c r="A18" s="80">
        <f t="shared" ca="1" si="1"/>
        <v>41749</v>
      </c>
      <c r="B18" s="30">
        <f t="shared" ca="1" si="0"/>
        <v>2014</v>
      </c>
      <c r="C18" s="81"/>
      <c r="L18" s="24">
        <v>17</v>
      </c>
      <c r="M18" s="36" t="s">
        <v>124</v>
      </c>
    </row>
    <row r="19" spans="1:13">
      <c r="A19" s="80">
        <f t="shared" ca="1" si="1"/>
        <v>43810</v>
      </c>
      <c r="B19" s="30">
        <f t="shared" ca="1" si="0"/>
        <v>2019</v>
      </c>
      <c r="C19" s="81"/>
      <c r="L19" s="24">
        <v>18</v>
      </c>
      <c r="M19" s="36" t="s">
        <v>125</v>
      </c>
    </row>
    <row r="20" spans="1:13">
      <c r="A20" s="80">
        <f t="shared" ca="1" si="1"/>
        <v>41326</v>
      </c>
      <c r="B20" s="30">
        <f t="shared" ca="1" si="0"/>
        <v>2013</v>
      </c>
      <c r="C20" s="81"/>
      <c r="L20" s="24">
        <v>19</v>
      </c>
      <c r="M20" s="36" t="s">
        <v>126</v>
      </c>
    </row>
    <row r="21" spans="1:13">
      <c r="A21" s="80">
        <f t="shared" ca="1" si="1"/>
        <v>42060</v>
      </c>
      <c r="B21" s="30">
        <f t="shared" ca="1" si="0"/>
        <v>2015</v>
      </c>
      <c r="C21" s="81"/>
      <c r="L21" s="24">
        <v>20</v>
      </c>
      <c r="M21" s="36" t="s">
        <v>127</v>
      </c>
    </row>
    <row r="22" spans="1:13">
      <c r="A22" s="68"/>
      <c r="B22" s="35"/>
      <c r="L22" s="24">
        <v>21</v>
      </c>
      <c r="M22" s="36" t="s">
        <v>71</v>
      </c>
    </row>
    <row r="23" spans="1:13">
      <c r="A23" s="111"/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C29" s="68"/>
      <c r="L29" s="24">
        <v>28</v>
      </c>
      <c r="M29" s="36" t="s">
        <v>115</v>
      </c>
    </row>
    <row r="30" spans="1:13">
      <c r="C30" s="68"/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4" bestFit="1" customWidth="1"/>
    <col min="2" max="2" width="20.42578125" style="24" bestFit="1" customWidth="1"/>
    <col min="3" max="3" width="12.28515625" style="24" bestFit="1" customWidth="1"/>
    <col min="4" max="11" width="9.140625" style="24"/>
    <col min="12" max="13" width="9.140625" style="24" hidden="1" customWidth="1"/>
    <col min="14" max="16384" width="9.140625" style="24"/>
  </cols>
  <sheetData>
    <row r="1" spans="1:13">
      <c r="A1" s="28" t="s">
        <v>19</v>
      </c>
      <c r="B1" s="30" t="s">
        <v>84</v>
      </c>
      <c r="C1" s="30" t="s">
        <v>151</v>
      </c>
    </row>
    <row r="2" spans="1:13">
      <c r="A2" s="80">
        <f ca="1">ROUND(RAND()*3286+40544,0)</f>
        <v>42606</v>
      </c>
      <c r="B2" s="30">
        <f ca="1">MONTH(A2)</f>
        <v>8</v>
      </c>
      <c r="C2" s="81"/>
      <c r="L2" s="24">
        <v>1</v>
      </c>
      <c r="M2" s="36" t="s">
        <v>71</v>
      </c>
    </row>
    <row r="3" spans="1:13">
      <c r="A3" s="80">
        <f t="shared" ref="A3:A21" ca="1" si="0">ROUND(RAND()*3286+40544,0)</f>
        <v>40601</v>
      </c>
      <c r="B3" s="30">
        <f t="shared" ref="B3:B21" ca="1" si="1">MONTH(A3)</f>
        <v>2</v>
      </c>
      <c r="C3" s="81"/>
      <c r="L3" s="24">
        <v>2</v>
      </c>
      <c r="M3" s="36" t="s">
        <v>72</v>
      </c>
    </row>
    <row r="4" spans="1:13">
      <c r="A4" s="80">
        <f t="shared" ca="1" si="0"/>
        <v>43524</v>
      </c>
      <c r="B4" s="30">
        <f t="shared" ca="1" si="1"/>
        <v>2</v>
      </c>
      <c r="C4" s="81"/>
      <c r="L4" s="24">
        <v>3</v>
      </c>
      <c r="M4" s="36" t="s">
        <v>73</v>
      </c>
    </row>
    <row r="5" spans="1:13">
      <c r="A5" s="80">
        <f t="shared" ca="1" si="0"/>
        <v>40698</v>
      </c>
      <c r="B5" s="30">
        <f t="shared" ca="1" si="1"/>
        <v>6</v>
      </c>
      <c r="C5" s="81"/>
      <c r="L5" s="24">
        <v>4</v>
      </c>
      <c r="M5" s="36" t="s">
        <v>74</v>
      </c>
    </row>
    <row r="6" spans="1:13">
      <c r="A6" s="80">
        <f t="shared" ca="1" si="0"/>
        <v>42211</v>
      </c>
      <c r="B6" s="30">
        <f t="shared" ca="1" si="1"/>
        <v>7</v>
      </c>
      <c r="C6" s="81"/>
      <c r="L6" s="24">
        <v>5</v>
      </c>
      <c r="M6" s="36" t="s">
        <v>75</v>
      </c>
    </row>
    <row r="7" spans="1:13">
      <c r="A7" s="80">
        <f t="shared" ca="1" si="0"/>
        <v>41793</v>
      </c>
      <c r="B7" s="30">
        <f t="shared" ca="1" si="1"/>
        <v>6</v>
      </c>
      <c r="C7" s="81"/>
      <c r="L7" s="24">
        <v>6</v>
      </c>
      <c r="M7" s="36" t="s">
        <v>76</v>
      </c>
    </row>
    <row r="8" spans="1:13">
      <c r="A8" s="80">
        <f t="shared" ca="1" si="0"/>
        <v>42753</v>
      </c>
      <c r="B8" s="30">
        <f t="shared" ca="1" si="1"/>
        <v>1</v>
      </c>
      <c r="C8" s="81"/>
      <c r="L8" s="24">
        <v>7</v>
      </c>
      <c r="M8" s="36" t="s">
        <v>114</v>
      </c>
    </row>
    <row r="9" spans="1:13">
      <c r="A9" s="80">
        <f t="shared" ca="1" si="0"/>
        <v>42316</v>
      </c>
      <c r="B9" s="30">
        <f t="shared" ca="1" si="1"/>
        <v>11</v>
      </c>
      <c r="C9" s="81"/>
      <c r="L9" s="24">
        <v>8</v>
      </c>
      <c r="M9" s="36" t="s">
        <v>115</v>
      </c>
    </row>
    <row r="10" spans="1:13">
      <c r="A10" s="80">
        <f t="shared" ca="1" si="0"/>
        <v>40639</v>
      </c>
      <c r="B10" s="30">
        <f t="shared" ca="1" si="1"/>
        <v>4</v>
      </c>
      <c r="C10" s="81"/>
      <c r="L10" s="24">
        <v>9</v>
      </c>
      <c r="M10" s="36" t="s">
        <v>116</v>
      </c>
    </row>
    <row r="11" spans="1:13">
      <c r="A11" s="80">
        <f t="shared" ca="1" si="0"/>
        <v>42050</v>
      </c>
      <c r="B11" s="30">
        <f t="shared" ca="1" si="1"/>
        <v>2</v>
      </c>
      <c r="C11" s="81"/>
      <c r="L11" s="24">
        <v>10</v>
      </c>
      <c r="M11" s="36" t="s">
        <v>117</v>
      </c>
    </row>
    <row r="12" spans="1:13">
      <c r="A12" s="80">
        <f t="shared" ca="1" si="0"/>
        <v>41368</v>
      </c>
      <c r="B12" s="30">
        <f t="shared" ca="1" si="1"/>
        <v>4</v>
      </c>
      <c r="C12" s="81"/>
      <c r="L12" s="24">
        <v>11</v>
      </c>
      <c r="M12" s="36" t="s">
        <v>118</v>
      </c>
    </row>
    <row r="13" spans="1:13">
      <c r="A13" s="80">
        <f t="shared" ca="1" si="0"/>
        <v>41572</v>
      </c>
      <c r="B13" s="30">
        <f t="shared" ca="1" si="1"/>
        <v>10</v>
      </c>
      <c r="C13" s="81"/>
      <c r="L13" s="24">
        <v>12</v>
      </c>
      <c r="M13" s="36" t="s">
        <v>119</v>
      </c>
    </row>
    <row r="14" spans="1:13">
      <c r="A14" s="80">
        <f t="shared" ca="1" si="0"/>
        <v>43350</v>
      </c>
      <c r="B14" s="30">
        <f t="shared" ca="1" si="1"/>
        <v>9</v>
      </c>
      <c r="C14" s="81"/>
      <c r="L14" s="24">
        <v>13</v>
      </c>
      <c r="M14" s="36" t="s">
        <v>120</v>
      </c>
    </row>
    <row r="15" spans="1:13">
      <c r="A15" s="80">
        <f t="shared" ca="1" si="0"/>
        <v>41996</v>
      </c>
      <c r="B15" s="30">
        <f t="shared" ca="1" si="1"/>
        <v>12</v>
      </c>
      <c r="C15" s="81"/>
      <c r="L15" s="24">
        <v>14</v>
      </c>
      <c r="M15" s="36" t="s">
        <v>121</v>
      </c>
    </row>
    <row r="16" spans="1:13">
      <c r="A16" s="80">
        <f t="shared" ca="1" si="0"/>
        <v>40547</v>
      </c>
      <c r="B16" s="30">
        <f t="shared" ca="1" si="1"/>
        <v>1</v>
      </c>
      <c r="C16" s="81"/>
      <c r="L16" s="24">
        <v>15</v>
      </c>
      <c r="M16" s="36" t="s">
        <v>122</v>
      </c>
    </row>
    <row r="17" spans="1:13">
      <c r="A17" s="80">
        <f t="shared" ca="1" si="0"/>
        <v>41873</v>
      </c>
      <c r="B17" s="30">
        <f t="shared" ca="1" si="1"/>
        <v>8</v>
      </c>
      <c r="C17" s="81"/>
      <c r="L17" s="24">
        <v>16</v>
      </c>
      <c r="M17" s="36" t="s">
        <v>123</v>
      </c>
    </row>
    <row r="18" spans="1:13">
      <c r="A18" s="80">
        <f t="shared" ca="1" si="0"/>
        <v>43577</v>
      </c>
      <c r="B18" s="30">
        <f t="shared" ca="1" si="1"/>
        <v>4</v>
      </c>
      <c r="C18" s="81"/>
      <c r="L18" s="24">
        <v>17</v>
      </c>
      <c r="M18" s="36" t="s">
        <v>124</v>
      </c>
    </row>
    <row r="19" spans="1:13">
      <c r="A19" s="80">
        <f t="shared" ca="1" si="0"/>
        <v>42831</v>
      </c>
      <c r="B19" s="30">
        <f t="shared" ca="1" si="1"/>
        <v>4</v>
      </c>
      <c r="C19" s="81"/>
      <c r="L19" s="24">
        <v>18</v>
      </c>
      <c r="M19" s="36" t="s">
        <v>125</v>
      </c>
    </row>
    <row r="20" spans="1:13">
      <c r="A20" s="80">
        <f t="shared" ca="1" si="0"/>
        <v>41220</v>
      </c>
      <c r="B20" s="30">
        <f t="shared" ca="1" si="1"/>
        <v>11</v>
      </c>
      <c r="C20" s="81"/>
      <c r="L20" s="24">
        <v>19</v>
      </c>
      <c r="M20" s="36" t="s">
        <v>126</v>
      </c>
    </row>
    <row r="21" spans="1:13">
      <c r="A21" s="80">
        <f t="shared" ca="1" si="0"/>
        <v>43778</v>
      </c>
      <c r="B21" s="30">
        <f t="shared" ca="1" si="1"/>
        <v>11</v>
      </c>
      <c r="C21" s="81"/>
      <c r="L21" s="24">
        <v>20</v>
      </c>
      <c r="M21" s="36" t="s">
        <v>127</v>
      </c>
    </row>
    <row r="22" spans="1:13">
      <c r="B22" s="35"/>
      <c r="L22" s="24">
        <v>21</v>
      </c>
      <c r="M22" s="36" t="s">
        <v>71</v>
      </c>
    </row>
    <row r="23" spans="1:13"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C29" s="68"/>
      <c r="L29" s="24">
        <v>28</v>
      </c>
      <c r="M29" s="36" t="s">
        <v>115</v>
      </c>
    </row>
    <row r="30" spans="1:13">
      <c r="C30" s="68"/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4" bestFit="1" customWidth="1"/>
    <col min="2" max="2" width="12.28515625" style="24" bestFit="1" customWidth="1"/>
    <col min="3" max="7" width="9.140625" style="24"/>
    <col min="8" max="8" width="13.28515625" style="24" bestFit="1" customWidth="1"/>
    <col min="9" max="9" width="14.7109375" style="24" bestFit="1" customWidth="1"/>
    <col min="10" max="10" width="10.7109375" style="24" bestFit="1" customWidth="1"/>
    <col min="11" max="12" width="9.140625" style="24" hidden="1" customWidth="1"/>
    <col min="13" max="16384" width="9.140625" style="24"/>
  </cols>
  <sheetData>
    <row r="1" spans="1:12">
      <c r="A1" s="30" t="s">
        <v>231</v>
      </c>
      <c r="B1" s="30" t="s">
        <v>151</v>
      </c>
    </row>
    <row r="2" spans="1:12">
      <c r="A2" s="30">
        <f ca="1">ROUND(RAND()*998+1,0)</f>
        <v>821</v>
      </c>
      <c r="B2" s="81"/>
      <c r="K2" s="24">
        <v>1</v>
      </c>
      <c r="L2" s="36" t="s">
        <v>71</v>
      </c>
    </row>
    <row r="3" spans="1:12">
      <c r="A3" s="30">
        <f t="shared" ref="A3:A21" ca="1" si="0">ROUND(RAND()*998+1,0)</f>
        <v>513</v>
      </c>
      <c r="B3" s="81"/>
      <c r="K3" s="24">
        <v>2</v>
      </c>
      <c r="L3" s="36" t="s">
        <v>72</v>
      </c>
    </row>
    <row r="4" spans="1:12">
      <c r="A4" s="30">
        <f t="shared" ca="1" si="0"/>
        <v>38</v>
      </c>
      <c r="B4" s="81"/>
      <c r="K4" s="24">
        <v>3</v>
      </c>
      <c r="L4" s="36" t="s">
        <v>73</v>
      </c>
    </row>
    <row r="5" spans="1:12">
      <c r="A5" s="30">
        <f t="shared" ca="1" si="0"/>
        <v>393</v>
      </c>
      <c r="B5" s="81"/>
      <c r="K5" s="24">
        <v>4</v>
      </c>
      <c r="L5" s="36" t="s">
        <v>74</v>
      </c>
    </row>
    <row r="6" spans="1:12">
      <c r="A6" s="30">
        <f t="shared" ca="1" si="0"/>
        <v>59</v>
      </c>
      <c r="B6" s="81"/>
      <c r="K6" s="24">
        <v>5</v>
      </c>
      <c r="L6" s="36" t="s">
        <v>75</v>
      </c>
    </row>
    <row r="7" spans="1:12">
      <c r="A7" s="30">
        <f t="shared" ca="1" si="0"/>
        <v>864</v>
      </c>
      <c r="B7" s="81"/>
      <c r="K7" s="24">
        <v>6</v>
      </c>
      <c r="L7" s="36" t="s">
        <v>76</v>
      </c>
    </row>
    <row r="8" spans="1:12">
      <c r="A8" s="30">
        <f t="shared" ca="1" si="0"/>
        <v>390</v>
      </c>
      <c r="B8" s="81"/>
      <c r="K8" s="24">
        <v>7</v>
      </c>
      <c r="L8" s="36" t="s">
        <v>114</v>
      </c>
    </row>
    <row r="9" spans="1:12">
      <c r="A9" s="30">
        <f t="shared" ca="1" si="0"/>
        <v>715</v>
      </c>
      <c r="B9" s="81"/>
      <c r="K9" s="24">
        <v>8</v>
      </c>
      <c r="L9" s="36" t="s">
        <v>115</v>
      </c>
    </row>
    <row r="10" spans="1:12">
      <c r="A10" s="30">
        <f t="shared" ca="1" si="0"/>
        <v>782</v>
      </c>
      <c r="B10" s="81"/>
      <c r="K10" s="24">
        <v>9</v>
      </c>
      <c r="L10" s="36" t="s">
        <v>116</v>
      </c>
    </row>
    <row r="11" spans="1:12">
      <c r="A11" s="30">
        <f t="shared" ca="1" si="0"/>
        <v>579</v>
      </c>
      <c r="B11" s="81"/>
      <c r="K11" s="24">
        <v>10</v>
      </c>
      <c r="L11" s="36" t="s">
        <v>117</v>
      </c>
    </row>
    <row r="12" spans="1:12">
      <c r="A12" s="30">
        <f t="shared" ca="1" si="0"/>
        <v>460</v>
      </c>
      <c r="B12" s="81"/>
      <c r="K12" s="24">
        <v>11</v>
      </c>
      <c r="L12" s="36" t="s">
        <v>118</v>
      </c>
    </row>
    <row r="13" spans="1:12">
      <c r="A13" s="30">
        <f t="shared" ca="1" si="0"/>
        <v>350</v>
      </c>
      <c r="B13" s="81"/>
      <c r="K13" s="24">
        <v>12</v>
      </c>
      <c r="L13" s="36" t="s">
        <v>119</v>
      </c>
    </row>
    <row r="14" spans="1:12">
      <c r="A14" s="30">
        <f t="shared" ca="1" si="0"/>
        <v>353</v>
      </c>
      <c r="B14" s="81"/>
      <c r="K14" s="24">
        <v>13</v>
      </c>
      <c r="L14" s="36" t="s">
        <v>120</v>
      </c>
    </row>
    <row r="15" spans="1:12">
      <c r="A15" s="30">
        <f t="shared" ca="1" si="0"/>
        <v>845</v>
      </c>
      <c r="B15" s="81"/>
      <c r="K15" s="24">
        <v>14</v>
      </c>
      <c r="L15" s="36" t="s">
        <v>121</v>
      </c>
    </row>
    <row r="16" spans="1:12">
      <c r="A16" s="30">
        <f t="shared" ca="1" si="0"/>
        <v>802</v>
      </c>
      <c r="B16" s="81"/>
      <c r="K16" s="24">
        <v>15</v>
      </c>
      <c r="L16" s="36" t="s">
        <v>122</v>
      </c>
    </row>
    <row r="17" spans="1:12">
      <c r="A17" s="30">
        <f t="shared" ca="1" si="0"/>
        <v>55</v>
      </c>
      <c r="B17" s="81"/>
      <c r="K17" s="24">
        <v>16</v>
      </c>
      <c r="L17" s="36" t="s">
        <v>123</v>
      </c>
    </row>
    <row r="18" spans="1:12">
      <c r="A18" s="30">
        <f t="shared" ca="1" si="0"/>
        <v>286</v>
      </c>
      <c r="B18" s="81"/>
      <c r="K18" s="24">
        <v>17</v>
      </c>
      <c r="L18" s="36" t="s">
        <v>124</v>
      </c>
    </row>
    <row r="19" spans="1:12" ht="13.5" thickBot="1">
      <c r="A19" s="30">
        <f t="shared" ca="1" si="0"/>
        <v>223</v>
      </c>
      <c r="B19" s="81"/>
      <c r="K19" s="24">
        <v>18</v>
      </c>
      <c r="L19" s="36" t="s">
        <v>125</v>
      </c>
    </row>
    <row r="20" spans="1:12">
      <c r="A20" s="30">
        <f t="shared" ca="1" si="0"/>
        <v>1</v>
      </c>
      <c r="B20" s="81"/>
      <c r="F20" s="115">
        <v>1</v>
      </c>
      <c r="G20" s="116" t="s">
        <v>232</v>
      </c>
      <c r="H20" s="116" t="s">
        <v>242</v>
      </c>
      <c r="I20" s="116"/>
      <c r="J20" s="117"/>
      <c r="K20" s="24">
        <v>19</v>
      </c>
      <c r="L20" s="36" t="s">
        <v>126</v>
      </c>
    </row>
    <row r="21" spans="1:12">
      <c r="A21" s="30">
        <f t="shared" ca="1" si="0"/>
        <v>796</v>
      </c>
      <c r="B21" s="81"/>
      <c r="F21" s="118">
        <v>2</v>
      </c>
      <c r="G21" s="114" t="s">
        <v>233</v>
      </c>
      <c r="H21" s="114" t="s">
        <v>243</v>
      </c>
      <c r="I21" s="114" t="s">
        <v>251</v>
      </c>
      <c r="J21" s="119" t="s">
        <v>260</v>
      </c>
      <c r="K21" s="24">
        <v>20</v>
      </c>
      <c r="L21" s="36" t="s">
        <v>127</v>
      </c>
    </row>
    <row r="22" spans="1:12">
      <c r="A22" s="35"/>
      <c r="F22" s="118">
        <v>3</v>
      </c>
      <c r="G22" s="114" t="s">
        <v>234</v>
      </c>
      <c r="H22" s="114" t="s">
        <v>244</v>
      </c>
      <c r="I22" s="114" t="s">
        <v>252</v>
      </c>
      <c r="J22" s="119" t="s">
        <v>261</v>
      </c>
      <c r="K22" s="24">
        <v>21</v>
      </c>
      <c r="L22" s="36" t="s">
        <v>71</v>
      </c>
    </row>
    <row r="23" spans="1:12">
      <c r="A23" s="35"/>
      <c r="F23" s="118">
        <v>4</v>
      </c>
      <c r="G23" s="114" t="s">
        <v>235</v>
      </c>
      <c r="H23" s="114" t="s">
        <v>245</v>
      </c>
      <c r="I23" s="114" t="s">
        <v>253</v>
      </c>
      <c r="J23" s="119" t="s">
        <v>262</v>
      </c>
      <c r="K23" s="24">
        <v>22</v>
      </c>
      <c r="L23" s="36" t="s">
        <v>72</v>
      </c>
    </row>
    <row r="24" spans="1:12">
      <c r="A24" s="35"/>
      <c r="F24" s="118">
        <v>5</v>
      </c>
      <c r="G24" s="114" t="s">
        <v>236</v>
      </c>
      <c r="H24" s="114" t="s">
        <v>246</v>
      </c>
      <c r="I24" s="114" t="s">
        <v>254</v>
      </c>
      <c r="J24" s="119" t="s">
        <v>263</v>
      </c>
      <c r="K24" s="24">
        <v>23</v>
      </c>
      <c r="L24" s="36" t="s">
        <v>73</v>
      </c>
    </row>
    <row r="25" spans="1:12">
      <c r="A25" s="35"/>
      <c r="F25" s="118">
        <v>6</v>
      </c>
      <c r="G25" s="114" t="s">
        <v>237</v>
      </c>
      <c r="H25" s="114" t="s">
        <v>247</v>
      </c>
      <c r="I25" s="114" t="s">
        <v>255</v>
      </c>
      <c r="J25" s="119" t="s">
        <v>264</v>
      </c>
      <c r="K25" s="24">
        <v>24</v>
      </c>
      <c r="L25" s="36" t="s">
        <v>74</v>
      </c>
    </row>
    <row r="26" spans="1:12">
      <c r="A26" s="35"/>
      <c r="F26" s="118">
        <v>7</v>
      </c>
      <c r="G26" s="114" t="s">
        <v>238</v>
      </c>
      <c r="H26" s="114" t="s">
        <v>248</v>
      </c>
      <c r="I26" s="114" t="s">
        <v>256</v>
      </c>
      <c r="J26" s="119" t="s">
        <v>265</v>
      </c>
      <c r="K26" s="24">
        <v>25</v>
      </c>
      <c r="L26" s="36" t="s">
        <v>75</v>
      </c>
    </row>
    <row r="27" spans="1:12">
      <c r="F27" s="118">
        <v>8</v>
      </c>
      <c r="G27" s="114" t="s">
        <v>239</v>
      </c>
      <c r="H27" s="114" t="s">
        <v>249</v>
      </c>
      <c r="I27" s="114" t="s">
        <v>257</v>
      </c>
      <c r="J27" s="119" t="s">
        <v>266</v>
      </c>
      <c r="K27" s="24">
        <v>26</v>
      </c>
      <c r="L27" s="36" t="s">
        <v>76</v>
      </c>
    </row>
    <row r="28" spans="1:12">
      <c r="F28" s="118">
        <v>9</v>
      </c>
      <c r="G28" s="114" t="s">
        <v>240</v>
      </c>
      <c r="H28" s="114" t="s">
        <v>250</v>
      </c>
      <c r="I28" s="114" t="s">
        <v>258</v>
      </c>
      <c r="J28" s="119" t="s">
        <v>267</v>
      </c>
      <c r="K28" s="24">
        <v>27</v>
      </c>
      <c r="L28" s="36" t="s">
        <v>114</v>
      </c>
    </row>
    <row r="29" spans="1:12" ht="13.5" thickBot="1">
      <c r="B29" s="68"/>
      <c r="F29" s="120">
        <v>10</v>
      </c>
      <c r="G29" s="121" t="s">
        <v>241</v>
      </c>
      <c r="H29" s="121"/>
      <c r="I29" s="121" t="s">
        <v>259</v>
      </c>
      <c r="J29" s="122"/>
      <c r="K29" s="24">
        <v>28</v>
      </c>
      <c r="L29" s="36" t="s">
        <v>115</v>
      </c>
    </row>
    <row r="30" spans="1:12">
      <c r="B30" s="68"/>
      <c r="K30" s="24">
        <v>29</v>
      </c>
      <c r="L30" s="36" t="s">
        <v>116</v>
      </c>
    </row>
    <row r="31" spans="1:12">
      <c r="K31" s="24">
        <v>30</v>
      </c>
      <c r="L31" s="36" t="s">
        <v>117</v>
      </c>
    </row>
    <row r="32" spans="1:12">
      <c r="K32" s="24">
        <v>31</v>
      </c>
      <c r="L32" s="36" t="s">
        <v>118</v>
      </c>
    </row>
    <row r="33" spans="11:12">
      <c r="K33" s="24">
        <v>32</v>
      </c>
      <c r="L33" s="36" t="s">
        <v>119</v>
      </c>
    </row>
    <row r="34" spans="11:12">
      <c r="K34" s="24">
        <v>33</v>
      </c>
      <c r="L34" s="36" t="s">
        <v>120</v>
      </c>
    </row>
    <row r="35" spans="11:12">
      <c r="K35" s="24">
        <v>34</v>
      </c>
      <c r="L35" s="36" t="s">
        <v>121</v>
      </c>
    </row>
    <row r="36" spans="11:12">
      <c r="K36" s="24">
        <v>35</v>
      </c>
      <c r="L36" s="36" t="s">
        <v>122</v>
      </c>
    </row>
    <row r="37" spans="11:12">
      <c r="K37" s="24">
        <v>36</v>
      </c>
      <c r="L37" s="36" t="s">
        <v>123</v>
      </c>
    </row>
    <row r="38" spans="11:12">
      <c r="K38" s="24">
        <v>37</v>
      </c>
      <c r="L38" s="36" t="s">
        <v>124</v>
      </c>
    </row>
    <row r="39" spans="11:12">
      <c r="K39" s="24">
        <v>38</v>
      </c>
      <c r="L39" s="36" t="s">
        <v>125</v>
      </c>
    </row>
    <row r="40" spans="11:12">
      <c r="K40" s="24">
        <v>39</v>
      </c>
      <c r="L40" s="36" t="s">
        <v>126</v>
      </c>
    </row>
    <row r="41" spans="11:12">
      <c r="K41" s="24">
        <v>40</v>
      </c>
      <c r="L41" s="36" t="s">
        <v>127</v>
      </c>
    </row>
  </sheetData>
  <customSheetViews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4" hidden="1" customWidth="1"/>
    <col min="3" max="3" width="15" style="24" customWidth="1"/>
    <col min="4" max="4" width="12.7109375" style="24" bestFit="1" customWidth="1"/>
    <col min="5" max="5" width="21.85546875" style="24" customWidth="1"/>
    <col min="6" max="8" width="9.140625" style="24"/>
    <col min="9" max="9" width="9.140625" style="24" hidden="1" customWidth="1"/>
    <col min="10" max="10" width="3.140625" style="24" bestFit="1" customWidth="1"/>
    <col min="11" max="11" width="28" style="24" customWidth="1"/>
    <col min="12" max="16384" width="9.140625" style="24"/>
  </cols>
  <sheetData>
    <row r="1" spans="1:11" ht="12.75" customHeight="1" thickBot="1">
      <c r="C1" s="28" t="s">
        <v>273</v>
      </c>
      <c r="D1" s="28" t="s">
        <v>181</v>
      </c>
      <c r="E1" s="30" t="s">
        <v>180</v>
      </c>
    </row>
    <row r="2" spans="1:11" ht="12.75" customHeight="1" thickBot="1">
      <c r="A2" s="86">
        <f ca="1">ROUND(RAND()*15+1,0)</f>
        <v>4</v>
      </c>
      <c r="B2" s="86">
        <f ca="1">ROUND(RAND()*15+1,0)</f>
        <v>9</v>
      </c>
      <c r="C2" s="80" t="str">
        <f ca="1">VLOOKUP(A2,$I$2:$J$17,2)&amp;VLOOKUP(B2,$I$2:$J$17,2)&amp;" "&amp;ROUND(RAND()*89999+10000,0)</f>
        <v>EN 62304</v>
      </c>
      <c r="D2" s="80" t="str">
        <f ca="1">MID(C2,1,1)</f>
        <v>E</v>
      </c>
      <c r="E2" s="81"/>
      <c r="I2" s="24">
        <v>1</v>
      </c>
      <c r="J2" s="82" t="s">
        <v>65</v>
      </c>
      <c r="K2" s="83" t="s">
        <v>152</v>
      </c>
    </row>
    <row r="3" spans="1:11" ht="12.75" customHeight="1" thickBot="1">
      <c r="A3" s="86">
        <f t="shared" ref="A3:B21" ca="1" si="0">ROUND(RAND()*15+1,0)</f>
        <v>7</v>
      </c>
      <c r="B3" s="86">
        <f t="shared" ca="1" si="0"/>
        <v>4</v>
      </c>
      <c r="C3" s="80" t="str">
        <f t="shared" ref="C3:C21" ca="1" si="1">VLOOKUP(A3,$I$2:$J$17,2)&amp;VLOOKUP(B3,$I$2:$J$17,2)&amp;" "&amp;ROUND(RAND()*89999+10000,0)</f>
        <v>KE 18773</v>
      </c>
      <c r="D3" s="80" t="str">
        <f t="shared" ref="D3:D21" ca="1" si="2">MID(C3,1,1)</f>
        <v>K</v>
      </c>
      <c r="E3" s="81"/>
      <c r="I3" s="24">
        <v>2</v>
      </c>
      <c r="J3" s="84" t="s">
        <v>66</v>
      </c>
      <c r="K3" s="85" t="s">
        <v>153</v>
      </c>
    </row>
    <row r="4" spans="1:11" ht="12.75" customHeight="1" thickBot="1">
      <c r="A4" s="86">
        <f t="shared" ca="1" si="0"/>
        <v>13</v>
      </c>
      <c r="B4" s="86">
        <f t="shared" ca="1" si="0"/>
        <v>14</v>
      </c>
      <c r="C4" s="80" t="str">
        <f t="shared" ca="1" si="1"/>
        <v>ST 72796</v>
      </c>
      <c r="D4" s="80" t="str">
        <f t="shared" ca="1" si="2"/>
        <v>S</v>
      </c>
      <c r="E4" s="81"/>
      <c r="I4" s="24">
        <v>3</v>
      </c>
      <c r="J4" s="84" t="s">
        <v>67</v>
      </c>
      <c r="K4" s="85" t="s">
        <v>154</v>
      </c>
    </row>
    <row r="5" spans="1:11" ht="12.75" customHeight="1" thickBot="1">
      <c r="A5" s="86">
        <f t="shared" ca="1" si="0"/>
        <v>12</v>
      </c>
      <c r="B5" s="86">
        <f t="shared" ca="1" si="0"/>
        <v>14</v>
      </c>
      <c r="C5" s="80" t="str">
        <f t="shared" ca="1" si="1"/>
        <v>RT 20272</v>
      </c>
      <c r="D5" s="80" t="str">
        <f t="shared" ca="1" si="2"/>
        <v>R</v>
      </c>
      <c r="E5" s="81"/>
      <c r="I5" s="24">
        <v>4</v>
      </c>
      <c r="J5" s="84" t="s">
        <v>155</v>
      </c>
      <c r="K5" s="85" t="s">
        <v>156</v>
      </c>
    </row>
    <row r="6" spans="1:11" ht="12.75" customHeight="1" thickBot="1">
      <c r="A6" s="86">
        <f t="shared" ca="1" si="0"/>
        <v>5</v>
      </c>
      <c r="B6" s="86">
        <f t="shared" ca="1" si="0"/>
        <v>10</v>
      </c>
      <c r="C6" s="80" t="str">
        <f t="shared" ca="1" si="1"/>
        <v>FO 19973</v>
      </c>
      <c r="D6" s="80" t="str">
        <f t="shared" ca="1" si="2"/>
        <v>F</v>
      </c>
      <c r="E6" s="81"/>
      <c r="I6" s="24">
        <v>5</v>
      </c>
      <c r="J6" s="84" t="s">
        <v>157</v>
      </c>
      <c r="K6" s="85" t="s">
        <v>158</v>
      </c>
    </row>
    <row r="7" spans="1:11" ht="12.75" customHeight="1" thickBot="1">
      <c r="A7" s="86">
        <f t="shared" ca="1" si="0"/>
        <v>16</v>
      </c>
      <c r="B7" s="86">
        <f t="shared" ca="1" si="0"/>
        <v>7</v>
      </c>
      <c r="C7" s="80" t="str">
        <f t="shared" ca="1" si="1"/>
        <v>ZK 42768</v>
      </c>
      <c r="D7" s="80" t="str">
        <f t="shared" ca="1" si="2"/>
        <v>Z</v>
      </c>
      <c r="E7" s="81"/>
      <c r="I7" s="24">
        <v>6</v>
      </c>
      <c r="J7" s="84" t="s">
        <v>159</v>
      </c>
      <c r="K7" s="85" t="s">
        <v>160</v>
      </c>
    </row>
    <row r="8" spans="1:11" ht="12.75" customHeight="1" thickBot="1">
      <c r="A8" s="86">
        <f t="shared" ca="1" si="0"/>
        <v>11</v>
      </c>
      <c r="B8" s="86">
        <f t="shared" ca="1" si="0"/>
        <v>13</v>
      </c>
      <c r="C8" s="80" t="str">
        <f t="shared" ca="1" si="1"/>
        <v>PS 57066</v>
      </c>
      <c r="D8" s="80" t="str">
        <f t="shared" ca="1" si="2"/>
        <v>P</v>
      </c>
      <c r="E8" s="81"/>
      <c r="I8" s="24">
        <v>7</v>
      </c>
      <c r="J8" s="84" t="s">
        <v>161</v>
      </c>
      <c r="K8" s="85" t="s">
        <v>162</v>
      </c>
    </row>
    <row r="9" spans="1:11" ht="12.75" customHeight="1" thickBot="1">
      <c r="A9" s="86">
        <f t="shared" ca="1" si="0"/>
        <v>1</v>
      </c>
      <c r="B9" s="86">
        <f t="shared" ca="1" si="0"/>
        <v>16</v>
      </c>
      <c r="C9" s="80" t="str">
        <f t="shared" ca="1" si="1"/>
        <v>BZ 78101</v>
      </c>
      <c r="D9" s="80" t="str">
        <f t="shared" ca="1" si="2"/>
        <v>B</v>
      </c>
      <c r="E9" s="81"/>
      <c r="I9" s="24">
        <v>8</v>
      </c>
      <c r="J9" s="84" t="s">
        <v>163</v>
      </c>
      <c r="K9" s="85" t="s">
        <v>164</v>
      </c>
    </row>
    <row r="10" spans="1:11" ht="12.75" customHeight="1" thickBot="1">
      <c r="A10" s="86">
        <f t="shared" ca="1" si="0"/>
        <v>15</v>
      </c>
      <c r="B10" s="86">
        <f t="shared" ca="1" si="0"/>
        <v>6</v>
      </c>
      <c r="C10" s="80" t="str">
        <f t="shared" ca="1" si="1"/>
        <v>WG 87086</v>
      </c>
      <c r="D10" s="80" t="str">
        <f t="shared" ca="1" si="2"/>
        <v>W</v>
      </c>
      <c r="E10" s="81"/>
      <c r="I10" s="24">
        <v>9</v>
      </c>
      <c r="J10" s="84" t="s">
        <v>165</v>
      </c>
      <c r="K10" s="85" t="s">
        <v>166</v>
      </c>
    </row>
    <row r="11" spans="1:11" ht="12.75" customHeight="1" thickBot="1">
      <c r="A11" s="86">
        <f t="shared" ca="1" si="0"/>
        <v>13</v>
      </c>
      <c r="B11" s="86">
        <f t="shared" ca="1" si="0"/>
        <v>12</v>
      </c>
      <c r="C11" s="80" t="str">
        <f t="shared" ca="1" si="1"/>
        <v>SR 72013</v>
      </c>
      <c r="D11" s="80" t="str">
        <f t="shared" ca="1" si="2"/>
        <v>S</v>
      </c>
      <c r="E11" s="81"/>
      <c r="I11" s="24">
        <v>10</v>
      </c>
      <c r="J11" s="84" t="s">
        <v>167</v>
      </c>
      <c r="K11" s="85" t="s">
        <v>168</v>
      </c>
    </row>
    <row r="12" spans="1:11" ht="12.75" customHeight="1" thickBot="1">
      <c r="A12" s="86">
        <f t="shared" ca="1" si="0"/>
        <v>5</v>
      </c>
      <c r="B12" s="86">
        <f t="shared" ca="1" si="0"/>
        <v>14</v>
      </c>
      <c r="C12" s="80" t="str">
        <f t="shared" ca="1" si="1"/>
        <v>FT 27945</v>
      </c>
      <c r="D12" s="80" t="str">
        <f t="shared" ca="1" si="2"/>
        <v>F</v>
      </c>
      <c r="E12" s="81"/>
      <c r="I12" s="24">
        <v>11</v>
      </c>
      <c r="J12" s="84" t="s">
        <v>169</v>
      </c>
      <c r="K12" s="85" t="s">
        <v>170</v>
      </c>
    </row>
    <row r="13" spans="1:11" ht="12.75" customHeight="1" thickBot="1">
      <c r="A13" s="86">
        <f t="shared" ca="1" si="0"/>
        <v>12</v>
      </c>
      <c r="B13" s="86">
        <f t="shared" ca="1" si="0"/>
        <v>2</v>
      </c>
      <c r="C13" s="80" t="str">
        <f t="shared" ca="1" si="1"/>
        <v>RC 20367</v>
      </c>
      <c r="D13" s="80" t="str">
        <f t="shared" ca="1" si="2"/>
        <v>R</v>
      </c>
      <c r="E13" s="81"/>
      <c r="I13" s="24">
        <v>12</v>
      </c>
      <c r="J13" s="84" t="s">
        <v>171</v>
      </c>
      <c r="K13" s="85" t="s">
        <v>172</v>
      </c>
    </row>
    <row r="14" spans="1:11" ht="12.75" customHeight="1" thickBot="1">
      <c r="A14" s="86">
        <f t="shared" ca="1" si="0"/>
        <v>16</v>
      </c>
      <c r="B14" s="86">
        <f t="shared" ca="1" si="0"/>
        <v>10</v>
      </c>
      <c r="C14" s="80" t="str">
        <f t="shared" ca="1" si="1"/>
        <v>ZO 27991</v>
      </c>
      <c r="D14" s="80" t="str">
        <f t="shared" ca="1" si="2"/>
        <v>Z</v>
      </c>
      <c r="E14" s="81"/>
      <c r="I14" s="24">
        <v>13</v>
      </c>
      <c r="J14" s="84" t="s">
        <v>173</v>
      </c>
      <c r="K14" s="85" t="s">
        <v>174</v>
      </c>
    </row>
    <row r="15" spans="1:11" ht="12.75" customHeight="1" thickBot="1">
      <c r="A15" s="86">
        <f t="shared" ca="1" si="0"/>
        <v>2</v>
      </c>
      <c r="B15" s="86">
        <f t="shared" ca="1" si="0"/>
        <v>1</v>
      </c>
      <c r="C15" s="80" t="str">
        <f t="shared" ca="1" si="1"/>
        <v>CB 12038</v>
      </c>
      <c r="D15" s="80" t="str">
        <f t="shared" ca="1" si="2"/>
        <v>C</v>
      </c>
      <c r="E15" s="81"/>
      <c r="I15" s="24">
        <v>14</v>
      </c>
      <c r="J15" s="84" t="s">
        <v>141</v>
      </c>
      <c r="K15" s="85" t="s">
        <v>175</v>
      </c>
    </row>
    <row r="16" spans="1:11" ht="12.75" customHeight="1" thickBot="1">
      <c r="A16" s="86">
        <f t="shared" ca="1" si="0"/>
        <v>3</v>
      </c>
      <c r="B16" s="86">
        <f t="shared" ca="1" si="0"/>
        <v>14</v>
      </c>
      <c r="C16" s="80" t="str">
        <f t="shared" ca="1" si="1"/>
        <v>DT 29306</v>
      </c>
      <c r="D16" s="80" t="str">
        <f t="shared" ca="1" si="2"/>
        <v>D</v>
      </c>
      <c r="E16" s="81"/>
      <c r="I16" s="24">
        <v>15</v>
      </c>
      <c r="J16" s="84" t="s">
        <v>176</v>
      </c>
      <c r="K16" s="85" t="s">
        <v>177</v>
      </c>
    </row>
    <row r="17" spans="1:11" ht="12.75" customHeight="1" thickBot="1">
      <c r="A17" s="86">
        <f t="shared" ca="1" si="0"/>
        <v>15</v>
      </c>
      <c r="B17" s="86">
        <f t="shared" ca="1" si="0"/>
        <v>10</v>
      </c>
      <c r="C17" s="80" t="str">
        <f t="shared" ca="1" si="1"/>
        <v>WO 95552</v>
      </c>
      <c r="D17" s="80" t="str">
        <f t="shared" ca="1" si="2"/>
        <v>W</v>
      </c>
      <c r="E17" s="81"/>
      <c r="I17" s="24">
        <v>16</v>
      </c>
      <c r="J17" s="84" t="s">
        <v>178</v>
      </c>
      <c r="K17" s="85" t="s">
        <v>179</v>
      </c>
    </row>
    <row r="18" spans="1:11" ht="12.75" customHeight="1">
      <c r="A18" s="86">
        <f t="shared" ca="1" si="0"/>
        <v>9</v>
      </c>
      <c r="B18" s="86">
        <f t="shared" ca="1" si="0"/>
        <v>8</v>
      </c>
      <c r="C18" s="80" t="str">
        <f t="shared" ca="1" si="1"/>
        <v>NL 54918</v>
      </c>
      <c r="D18" s="80" t="str">
        <f t="shared" ca="1" si="2"/>
        <v>N</v>
      </c>
      <c r="E18" s="81"/>
    </row>
    <row r="19" spans="1:11" ht="12.75" customHeight="1">
      <c r="A19" s="86">
        <f t="shared" ca="1" si="0"/>
        <v>7</v>
      </c>
      <c r="B19" s="86">
        <f t="shared" ca="1" si="0"/>
        <v>15</v>
      </c>
      <c r="C19" s="80" t="str">
        <f t="shared" ca="1" si="1"/>
        <v>KW 69685</v>
      </c>
      <c r="D19" s="80" t="str">
        <f t="shared" ca="1" si="2"/>
        <v>K</v>
      </c>
      <c r="E19" s="81"/>
    </row>
    <row r="20" spans="1:11" ht="12.75" customHeight="1">
      <c r="A20" s="86">
        <f t="shared" ca="1" si="0"/>
        <v>15</v>
      </c>
      <c r="B20" s="86">
        <f t="shared" ca="1" si="0"/>
        <v>3</v>
      </c>
      <c r="C20" s="80" t="str">
        <f t="shared" ca="1" si="1"/>
        <v>WD 50678</v>
      </c>
      <c r="D20" s="80" t="str">
        <f t="shared" ca="1" si="2"/>
        <v>W</v>
      </c>
      <c r="E20" s="81"/>
    </row>
    <row r="21" spans="1:11" ht="12.75" customHeight="1">
      <c r="A21" s="86">
        <f t="shared" ca="1" si="0"/>
        <v>8</v>
      </c>
      <c r="B21" s="86">
        <f t="shared" ca="1" si="0"/>
        <v>9</v>
      </c>
      <c r="C21" s="80" t="str">
        <f t="shared" ca="1" si="1"/>
        <v>LN 37870</v>
      </c>
      <c r="D21" s="80" t="str">
        <f t="shared" ca="1" si="2"/>
        <v>L</v>
      </c>
      <c r="E21" s="81"/>
    </row>
  </sheetData>
  <customSheetViews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4" hidden="1" customWidth="1"/>
    <col min="2" max="2" width="15" style="24" customWidth="1"/>
    <col min="3" max="3" width="12.7109375" style="24" bestFit="1" customWidth="1"/>
    <col min="4" max="4" width="24.5703125" style="24" bestFit="1" customWidth="1"/>
    <col min="5" max="7" width="9.140625" style="24"/>
    <col min="8" max="8" width="4.28515625" style="24" hidden="1" customWidth="1"/>
    <col min="9" max="9" width="3.140625" style="24" bestFit="1" customWidth="1"/>
    <col min="10" max="10" width="28" style="24" customWidth="1"/>
    <col min="11" max="16384" width="9.140625" style="24"/>
  </cols>
  <sheetData>
    <row r="1" spans="1:10" ht="12.75" customHeight="1">
      <c r="B1" s="28" t="s">
        <v>182</v>
      </c>
      <c r="C1" s="28" t="s">
        <v>183</v>
      </c>
      <c r="D1" s="30" t="s">
        <v>186</v>
      </c>
    </row>
    <row r="2" spans="1:10" ht="12.75" customHeight="1">
      <c r="A2" s="86">
        <f ca="1">ROUND(RAND()*9+1,0)</f>
        <v>5</v>
      </c>
      <c r="B2" s="26" t="s">
        <v>54</v>
      </c>
      <c r="C2" s="80" t="str">
        <f ca="1">VLOOKUP(A2,$H$2:$I$11,2)</f>
        <v>N</v>
      </c>
      <c r="D2" s="81"/>
      <c r="H2" s="24">
        <v>1</v>
      </c>
      <c r="I2" s="90" t="s">
        <v>157</v>
      </c>
      <c r="J2" s="91" t="s">
        <v>221</v>
      </c>
    </row>
    <row r="3" spans="1:10" ht="12.75" customHeight="1">
      <c r="A3" s="86">
        <f t="shared" ref="A3:A25" ca="1" si="0">ROUND(RAND()*9+1,0)</f>
        <v>6</v>
      </c>
      <c r="B3" s="26" t="s">
        <v>55</v>
      </c>
      <c r="C3" s="80" t="str">
        <f t="shared" ref="C3:C25" ca="1" si="1">VLOOKUP(A3,$H$2:$I$11,2)</f>
        <v>P</v>
      </c>
      <c r="D3" s="81"/>
      <c r="H3" s="24">
        <v>2</v>
      </c>
      <c r="I3" s="90" t="s">
        <v>159</v>
      </c>
      <c r="J3" s="91" t="s">
        <v>222</v>
      </c>
    </row>
    <row r="4" spans="1:10" ht="12.75" customHeight="1">
      <c r="A4" s="86">
        <f t="shared" ca="1" si="0"/>
        <v>7</v>
      </c>
      <c r="B4" s="26" t="s">
        <v>56</v>
      </c>
      <c r="C4" s="80" t="str">
        <f t="shared" ca="1" si="1"/>
        <v>R</v>
      </c>
      <c r="D4" s="81"/>
      <c r="H4" s="24">
        <v>3</v>
      </c>
      <c r="I4" s="90" t="s">
        <v>161</v>
      </c>
      <c r="J4" s="91" t="s">
        <v>223</v>
      </c>
    </row>
    <row r="5" spans="1:10" ht="12.75" customHeight="1">
      <c r="A5" s="86">
        <f t="shared" ca="1" si="0"/>
        <v>7</v>
      </c>
      <c r="B5" s="26" t="s">
        <v>57</v>
      </c>
      <c r="C5" s="80" t="str">
        <f t="shared" ca="1" si="1"/>
        <v>R</v>
      </c>
      <c r="D5" s="81"/>
      <c r="H5" s="24">
        <v>4</v>
      </c>
      <c r="I5" s="90" t="s">
        <v>184</v>
      </c>
      <c r="J5" s="91" t="s">
        <v>224</v>
      </c>
    </row>
    <row r="6" spans="1:10" ht="12.75" customHeight="1">
      <c r="A6" s="86">
        <f t="shared" ca="1" si="0"/>
        <v>8</v>
      </c>
      <c r="B6" s="26" t="s">
        <v>58</v>
      </c>
      <c r="C6" s="80" t="str">
        <f t="shared" ca="1" si="1"/>
        <v>S</v>
      </c>
      <c r="D6" s="81"/>
      <c r="H6" s="24">
        <v>5</v>
      </c>
      <c r="I6" s="90" t="s">
        <v>165</v>
      </c>
      <c r="J6" s="91" t="s">
        <v>225</v>
      </c>
    </row>
    <row r="7" spans="1:10" ht="12.75" customHeight="1">
      <c r="A7" s="86">
        <f t="shared" ca="1" si="0"/>
        <v>7</v>
      </c>
      <c r="B7" s="26" t="s">
        <v>59</v>
      </c>
      <c r="C7" s="80" t="str">
        <f t="shared" ca="1" si="1"/>
        <v>R</v>
      </c>
      <c r="D7" s="81"/>
      <c r="H7" s="24">
        <v>6</v>
      </c>
      <c r="I7" s="90" t="s">
        <v>169</v>
      </c>
      <c r="J7" s="91" t="s">
        <v>226</v>
      </c>
    </row>
    <row r="8" spans="1:10" ht="12.75" customHeight="1">
      <c r="A8" s="86">
        <f t="shared" ca="1" si="0"/>
        <v>9</v>
      </c>
      <c r="B8" s="26" t="s">
        <v>60</v>
      </c>
      <c r="C8" s="80" t="str">
        <f t="shared" ca="1" si="1"/>
        <v>U</v>
      </c>
      <c r="D8" s="81"/>
      <c r="H8" s="24">
        <v>7</v>
      </c>
      <c r="I8" s="90" t="s">
        <v>171</v>
      </c>
      <c r="J8" s="91" t="s">
        <v>227</v>
      </c>
    </row>
    <row r="9" spans="1:10" ht="12.75" customHeight="1">
      <c r="A9" s="86">
        <f t="shared" ca="1" si="0"/>
        <v>5</v>
      </c>
      <c r="B9" s="26" t="s">
        <v>61</v>
      </c>
      <c r="C9" s="80" t="str">
        <f t="shared" ca="1" si="1"/>
        <v>N</v>
      </c>
      <c r="D9" s="81"/>
      <c r="H9" s="24">
        <v>8</v>
      </c>
      <c r="I9" s="90" t="s">
        <v>173</v>
      </c>
      <c r="J9" s="91" t="s">
        <v>228</v>
      </c>
    </row>
    <row r="10" spans="1:10" ht="12.75" customHeight="1">
      <c r="A10" s="86">
        <f t="shared" ca="1" si="0"/>
        <v>7</v>
      </c>
      <c r="B10" s="26" t="s">
        <v>62</v>
      </c>
      <c r="C10" s="80" t="str">
        <f t="shared" ca="1" si="1"/>
        <v>R</v>
      </c>
      <c r="D10" s="81"/>
      <c r="H10" s="24">
        <v>9</v>
      </c>
      <c r="I10" s="90" t="s">
        <v>185</v>
      </c>
      <c r="J10" s="91" t="s">
        <v>229</v>
      </c>
    </row>
    <row r="11" spans="1:10" ht="12.75" customHeight="1">
      <c r="A11" s="86">
        <f t="shared" ca="1" si="0"/>
        <v>7</v>
      </c>
      <c r="B11" s="26" t="s">
        <v>63</v>
      </c>
      <c r="C11" s="80" t="str">
        <f t="shared" ca="1" si="1"/>
        <v>R</v>
      </c>
      <c r="D11" s="81"/>
      <c r="H11" s="24">
        <v>10</v>
      </c>
      <c r="I11" s="90" t="s">
        <v>176</v>
      </c>
      <c r="J11" s="91" t="s">
        <v>279</v>
      </c>
    </row>
    <row r="12" spans="1:10" ht="12.75" customHeight="1">
      <c r="A12" s="86">
        <f t="shared" ca="1" si="0"/>
        <v>7</v>
      </c>
      <c r="B12" s="26" t="s">
        <v>64</v>
      </c>
      <c r="C12" s="80" t="str">
        <f t="shared" ca="1" si="1"/>
        <v>R</v>
      </c>
      <c r="D12" s="81"/>
      <c r="H12" s="87"/>
      <c r="I12" s="88"/>
      <c r="J12" s="89"/>
    </row>
    <row r="13" spans="1:10" ht="12.75" customHeight="1">
      <c r="A13" s="86">
        <f t="shared" ca="1" si="0"/>
        <v>2</v>
      </c>
      <c r="B13" s="26" t="s">
        <v>97</v>
      </c>
      <c r="C13" s="80" t="str">
        <f t="shared" ca="1" si="1"/>
        <v>G</v>
      </c>
      <c r="D13" s="81"/>
      <c r="H13" s="87"/>
      <c r="I13" s="88"/>
      <c r="J13" s="89"/>
    </row>
    <row r="14" spans="1:10" ht="12.75" customHeight="1">
      <c r="A14" s="86">
        <f t="shared" ca="1" si="0"/>
        <v>6</v>
      </c>
      <c r="B14" s="26" t="s">
        <v>98</v>
      </c>
      <c r="C14" s="80" t="str">
        <f t="shared" ca="1" si="1"/>
        <v>P</v>
      </c>
      <c r="D14" s="81"/>
      <c r="H14" s="87"/>
      <c r="I14" s="88"/>
      <c r="J14" s="89"/>
    </row>
    <row r="15" spans="1:10" ht="12.75" customHeight="1">
      <c r="A15" s="86">
        <f t="shared" ca="1" si="0"/>
        <v>7</v>
      </c>
      <c r="B15" s="26" t="s">
        <v>99</v>
      </c>
      <c r="C15" s="80" t="str">
        <f t="shared" ca="1" si="1"/>
        <v>R</v>
      </c>
      <c r="D15" s="81"/>
      <c r="H15" s="87"/>
      <c r="I15" s="88"/>
      <c r="J15" s="89"/>
    </row>
    <row r="16" spans="1:10" ht="12.75" customHeight="1">
      <c r="A16" s="86">
        <f t="shared" ca="1" si="0"/>
        <v>5</v>
      </c>
      <c r="B16" s="26" t="s">
        <v>100</v>
      </c>
      <c r="C16" s="80" t="str">
        <f t="shared" ca="1" si="1"/>
        <v>N</v>
      </c>
      <c r="D16" s="81"/>
      <c r="H16" s="87"/>
      <c r="I16" s="88"/>
      <c r="J16" s="89"/>
    </row>
    <row r="17" spans="1:10" ht="12.75" customHeight="1">
      <c r="A17" s="86">
        <f t="shared" ca="1" si="0"/>
        <v>1</v>
      </c>
      <c r="B17" s="26" t="s">
        <v>101</v>
      </c>
      <c r="C17" s="80" t="str">
        <f t="shared" ca="1" si="1"/>
        <v>F</v>
      </c>
      <c r="D17" s="81"/>
      <c r="H17" s="87"/>
      <c r="I17" s="88"/>
      <c r="J17" s="89"/>
    </row>
    <row r="18" spans="1:10" ht="12.75" customHeight="1">
      <c r="A18" s="86">
        <f t="shared" ca="1" si="0"/>
        <v>1</v>
      </c>
      <c r="B18" s="26" t="s">
        <v>102</v>
      </c>
      <c r="C18" s="80" t="str">
        <f t="shared" ca="1" si="1"/>
        <v>F</v>
      </c>
      <c r="D18" s="81"/>
    </row>
    <row r="19" spans="1:10" ht="12.75" customHeight="1">
      <c r="A19" s="86">
        <f t="shared" ca="1" si="0"/>
        <v>7</v>
      </c>
      <c r="B19" s="26" t="s">
        <v>103</v>
      </c>
      <c r="C19" s="80" t="str">
        <f t="shared" ca="1" si="1"/>
        <v>R</v>
      </c>
      <c r="D19" s="81"/>
    </row>
    <row r="20" spans="1:10" ht="12.75" customHeight="1">
      <c r="A20" s="86">
        <f t="shared" ca="1" si="0"/>
        <v>1</v>
      </c>
      <c r="B20" s="26" t="s">
        <v>104</v>
      </c>
      <c r="C20" s="80" t="str">
        <f t="shared" ca="1" si="1"/>
        <v>F</v>
      </c>
      <c r="D20" s="81"/>
    </row>
    <row r="21" spans="1:10" ht="12.75" customHeight="1">
      <c r="A21" s="86">
        <f t="shared" ca="1" si="0"/>
        <v>7</v>
      </c>
      <c r="B21" s="26" t="s">
        <v>105</v>
      </c>
      <c r="C21" s="80" t="str">
        <f t="shared" ca="1" si="1"/>
        <v>R</v>
      </c>
      <c r="D21" s="81"/>
    </row>
    <row r="22" spans="1:10" ht="12.75" customHeight="1">
      <c r="A22" s="86">
        <f t="shared" ca="1" si="0"/>
        <v>3</v>
      </c>
      <c r="B22" s="26" t="s">
        <v>106</v>
      </c>
      <c r="C22" s="80" t="str">
        <f t="shared" ca="1" si="1"/>
        <v>K</v>
      </c>
      <c r="D22" s="81"/>
    </row>
    <row r="23" spans="1:10" ht="12.75" customHeight="1">
      <c r="A23" s="86">
        <f t="shared" ca="1" si="0"/>
        <v>8</v>
      </c>
      <c r="B23" s="26" t="s">
        <v>107</v>
      </c>
      <c r="C23" s="80" t="str">
        <f t="shared" ca="1" si="1"/>
        <v>S</v>
      </c>
      <c r="D23" s="81"/>
    </row>
    <row r="24" spans="1:10" ht="12.75" customHeight="1">
      <c r="A24" s="86">
        <f t="shared" ca="1" si="0"/>
        <v>4</v>
      </c>
      <c r="B24" s="26" t="s">
        <v>108</v>
      </c>
      <c r="C24" s="80" t="str">
        <f t="shared" ca="1" si="1"/>
        <v>M</v>
      </c>
      <c r="D24" s="81"/>
    </row>
    <row r="25" spans="1:10" ht="12.75" customHeight="1">
      <c r="A25" s="86">
        <f t="shared" ca="1" si="0"/>
        <v>6</v>
      </c>
      <c r="B25" s="26" t="s">
        <v>109</v>
      </c>
      <c r="C25" s="80" t="str">
        <f t="shared" ca="1" si="1"/>
        <v>P</v>
      </c>
      <c r="D25" s="81"/>
    </row>
  </sheetData>
  <sortState ref="I2:J11">
    <sortCondition ref="I2:I11"/>
  </sortState>
  <customSheetViews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4" hidden="1" customWidth="1"/>
    <col min="2" max="2" width="15" style="24" customWidth="1"/>
    <col min="3" max="3" width="12.7109375" style="24" bestFit="1" customWidth="1"/>
    <col min="4" max="6" width="9.140625" style="24"/>
    <col min="7" max="7" width="4.28515625" style="24" hidden="1" customWidth="1"/>
    <col min="8" max="8" width="3.140625" style="24" bestFit="1" customWidth="1"/>
    <col min="9" max="9" width="28" style="24" customWidth="1"/>
    <col min="10" max="10" width="15.7109375" style="24" bestFit="1" customWidth="1"/>
    <col min="11" max="16384" width="9.140625" style="24"/>
  </cols>
  <sheetData>
    <row r="1" spans="1:10" ht="12.75" customHeight="1">
      <c r="B1" s="28" t="s">
        <v>182</v>
      </c>
      <c r="C1" s="28" t="s">
        <v>183</v>
      </c>
      <c r="J1" s="28" t="s">
        <v>230</v>
      </c>
    </row>
    <row r="2" spans="1:10" ht="12.75" customHeight="1">
      <c r="A2" s="86">
        <f ca="1">ROUND(RAND()*9+1,0)</f>
        <v>6</v>
      </c>
      <c r="B2" s="26" t="s">
        <v>54</v>
      </c>
      <c r="C2" s="80" t="str">
        <f ca="1">VLOOKUP(A2,$G$2:$H$11,2)</f>
        <v>P</v>
      </c>
      <c r="G2" s="24">
        <v>1</v>
      </c>
      <c r="H2" s="90" t="s">
        <v>157</v>
      </c>
      <c r="I2" s="112" t="s">
        <v>221</v>
      </c>
      <c r="J2" s="113"/>
    </row>
    <row r="3" spans="1:10" ht="12.75" customHeight="1">
      <c r="A3" s="86">
        <f t="shared" ref="A3:A25" ca="1" si="0">ROUND(RAND()*9+1,0)</f>
        <v>4</v>
      </c>
      <c r="B3" s="26" t="s">
        <v>55</v>
      </c>
      <c r="C3" s="80" t="str">
        <f t="shared" ref="C3:C25" ca="1" si="1">VLOOKUP(A3,$G$2:$H$11,2)</f>
        <v>M</v>
      </c>
      <c r="G3" s="24">
        <v>2</v>
      </c>
      <c r="H3" s="90" t="s">
        <v>159</v>
      </c>
      <c r="I3" s="112" t="s">
        <v>222</v>
      </c>
      <c r="J3" s="113"/>
    </row>
    <row r="4" spans="1:10" ht="12.75" customHeight="1">
      <c r="A4" s="86">
        <f t="shared" ca="1" si="0"/>
        <v>3</v>
      </c>
      <c r="B4" s="26" t="s">
        <v>56</v>
      </c>
      <c r="C4" s="80" t="str">
        <f t="shared" ca="1" si="1"/>
        <v>K</v>
      </c>
      <c r="G4" s="24">
        <v>3</v>
      </c>
      <c r="H4" s="90" t="s">
        <v>161</v>
      </c>
      <c r="I4" s="112" t="s">
        <v>223</v>
      </c>
      <c r="J4" s="113"/>
    </row>
    <row r="5" spans="1:10" ht="12.75" customHeight="1">
      <c r="A5" s="86">
        <f t="shared" ca="1" si="0"/>
        <v>9</v>
      </c>
      <c r="B5" s="26" t="s">
        <v>57</v>
      </c>
      <c r="C5" s="80" t="str">
        <f t="shared" ca="1" si="1"/>
        <v>U</v>
      </c>
      <c r="G5" s="24">
        <v>4</v>
      </c>
      <c r="H5" s="90" t="s">
        <v>184</v>
      </c>
      <c r="I5" s="112" t="s">
        <v>224</v>
      </c>
      <c r="J5" s="113"/>
    </row>
    <row r="6" spans="1:10" ht="12.75" customHeight="1">
      <c r="A6" s="86">
        <f t="shared" ca="1" si="0"/>
        <v>8</v>
      </c>
      <c r="B6" s="26" t="s">
        <v>58</v>
      </c>
      <c r="C6" s="80" t="str">
        <f t="shared" ca="1" si="1"/>
        <v>S</v>
      </c>
      <c r="G6" s="24">
        <v>5</v>
      </c>
      <c r="H6" s="90" t="s">
        <v>165</v>
      </c>
      <c r="I6" s="112" t="s">
        <v>225</v>
      </c>
      <c r="J6" s="113"/>
    </row>
    <row r="7" spans="1:10" ht="12.75" customHeight="1">
      <c r="A7" s="86">
        <f t="shared" ca="1" si="0"/>
        <v>7</v>
      </c>
      <c r="B7" s="26" t="s">
        <v>59</v>
      </c>
      <c r="C7" s="80" t="str">
        <f t="shared" ca="1" si="1"/>
        <v>R</v>
      </c>
      <c r="G7" s="24">
        <v>6</v>
      </c>
      <c r="H7" s="90" t="s">
        <v>169</v>
      </c>
      <c r="I7" s="112" t="s">
        <v>226</v>
      </c>
      <c r="J7" s="113"/>
    </row>
    <row r="8" spans="1:10" ht="12.75" customHeight="1">
      <c r="A8" s="86">
        <f t="shared" ca="1" si="0"/>
        <v>7</v>
      </c>
      <c r="B8" s="26" t="s">
        <v>60</v>
      </c>
      <c r="C8" s="80" t="str">
        <f t="shared" ca="1" si="1"/>
        <v>R</v>
      </c>
      <c r="G8" s="24">
        <v>7</v>
      </c>
      <c r="H8" s="90" t="s">
        <v>171</v>
      </c>
      <c r="I8" s="112" t="s">
        <v>227</v>
      </c>
      <c r="J8" s="113"/>
    </row>
    <row r="9" spans="1:10" ht="12.75" customHeight="1">
      <c r="A9" s="86">
        <f t="shared" ca="1" si="0"/>
        <v>1</v>
      </c>
      <c r="B9" s="26" t="s">
        <v>61</v>
      </c>
      <c r="C9" s="80" t="str">
        <f t="shared" ca="1" si="1"/>
        <v>F</v>
      </c>
      <c r="G9" s="24">
        <v>8</v>
      </c>
      <c r="H9" s="90" t="s">
        <v>173</v>
      </c>
      <c r="I9" s="112" t="s">
        <v>228</v>
      </c>
      <c r="J9" s="113"/>
    </row>
    <row r="10" spans="1:10" ht="12.75" customHeight="1">
      <c r="A10" s="86">
        <f t="shared" ca="1" si="0"/>
        <v>6</v>
      </c>
      <c r="B10" s="26" t="s">
        <v>62</v>
      </c>
      <c r="C10" s="80" t="str">
        <f t="shared" ca="1" si="1"/>
        <v>P</v>
      </c>
      <c r="G10" s="24">
        <v>9</v>
      </c>
      <c r="H10" s="90" t="s">
        <v>185</v>
      </c>
      <c r="I10" s="112" t="s">
        <v>229</v>
      </c>
      <c r="J10" s="113"/>
    </row>
    <row r="11" spans="1:10" ht="12.75" customHeight="1">
      <c r="A11" s="86">
        <f t="shared" ca="1" si="0"/>
        <v>9</v>
      </c>
      <c r="B11" s="26" t="s">
        <v>63</v>
      </c>
      <c r="C11" s="80" t="str">
        <f t="shared" ca="1" si="1"/>
        <v>U</v>
      </c>
      <c r="G11" s="24">
        <v>10</v>
      </c>
      <c r="H11" s="90" t="s">
        <v>176</v>
      </c>
      <c r="I11" s="112" t="s">
        <v>279</v>
      </c>
      <c r="J11" s="113"/>
    </row>
    <row r="12" spans="1:10" ht="12.75" customHeight="1">
      <c r="A12" s="86">
        <f t="shared" ca="1" si="0"/>
        <v>1</v>
      </c>
      <c r="B12" s="26" t="s">
        <v>64</v>
      </c>
      <c r="C12" s="80" t="str">
        <f t="shared" ca="1" si="1"/>
        <v>F</v>
      </c>
      <c r="G12" s="87"/>
      <c r="H12" s="88"/>
      <c r="I12" s="89"/>
    </row>
    <row r="13" spans="1:10" ht="12.75" customHeight="1">
      <c r="A13" s="86">
        <f t="shared" ca="1" si="0"/>
        <v>2</v>
      </c>
      <c r="B13" s="26" t="s">
        <v>97</v>
      </c>
      <c r="C13" s="80" t="str">
        <f t="shared" ca="1" si="1"/>
        <v>G</v>
      </c>
      <c r="G13" s="87"/>
      <c r="H13" s="88"/>
      <c r="I13" s="89"/>
    </row>
    <row r="14" spans="1:10" ht="12.75" customHeight="1">
      <c r="A14" s="86">
        <f t="shared" ca="1" si="0"/>
        <v>8</v>
      </c>
      <c r="B14" s="26" t="s">
        <v>98</v>
      </c>
      <c r="C14" s="80" t="str">
        <f t="shared" ca="1" si="1"/>
        <v>S</v>
      </c>
      <c r="G14" s="87"/>
      <c r="H14" s="88"/>
      <c r="I14" s="89"/>
    </row>
    <row r="15" spans="1:10" ht="12.75" customHeight="1">
      <c r="A15" s="86">
        <f t="shared" ca="1" si="0"/>
        <v>9</v>
      </c>
      <c r="B15" s="26" t="s">
        <v>99</v>
      </c>
      <c r="C15" s="80" t="str">
        <f t="shared" ca="1" si="1"/>
        <v>U</v>
      </c>
      <c r="G15" s="87"/>
      <c r="H15" s="88"/>
      <c r="I15" s="89"/>
    </row>
    <row r="16" spans="1:10" ht="12.75" customHeight="1">
      <c r="A16" s="86">
        <f t="shared" ca="1" si="0"/>
        <v>1</v>
      </c>
      <c r="B16" s="26" t="s">
        <v>100</v>
      </c>
      <c r="C16" s="80" t="str">
        <f t="shared" ca="1" si="1"/>
        <v>F</v>
      </c>
      <c r="G16" s="87"/>
      <c r="H16" s="88"/>
      <c r="I16" s="89"/>
    </row>
    <row r="17" spans="1:9" ht="12.75" customHeight="1">
      <c r="A17" s="86">
        <f t="shared" ca="1" si="0"/>
        <v>10</v>
      </c>
      <c r="B17" s="26" t="s">
        <v>101</v>
      </c>
      <c r="C17" s="80" t="str">
        <f t="shared" ca="1" si="1"/>
        <v>W</v>
      </c>
      <c r="G17" s="87"/>
      <c r="H17" s="88"/>
      <c r="I17" s="89"/>
    </row>
    <row r="18" spans="1:9" ht="12.75" customHeight="1">
      <c r="A18" s="86">
        <f t="shared" ca="1" si="0"/>
        <v>4</v>
      </c>
      <c r="B18" s="26" t="s">
        <v>102</v>
      </c>
      <c r="C18" s="80" t="str">
        <f t="shared" ca="1" si="1"/>
        <v>M</v>
      </c>
    </row>
    <row r="19" spans="1:9" ht="12.75" customHeight="1">
      <c r="A19" s="86">
        <f t="shared" ca="1" si="0"/>
        <v>5</v>
      </c>
      <c r="B19" s="26" t="s">
        <v>103</v>
      </c>
      <c r="C19" s="80" t="str">
        <f t="shared" ca="1" si="1"/>
        <v>N</v>
      </c>
    </row>
    <row r="20" spans="1:9" ht="12.75" customHeight="1">
      <c r="A20" s="86">
        <f t="shared" ca="1" si="0"/>
        <v>7</v>
      </c>
      <c r="B20" s="26" t="s">
        <v>104</v>
      </c>
      <c r="C20" s="80" t="str">
        <f t="shared" ca="1" si="1"/>
        <v>R</v>
      </c>
    </row>
    <row r="21" spans="1:9" ht="12.75" customHeight="1">
      <c r="A21" s="86">
        <f t="shared" ca="1" si="0"/>
        <v>9</v>
      </c>
      <c r="B21" s="26" t="s">
        <v>105</v>
      </c>
      <c r="C21" s="80" t="str">
        <f t="shared" ca="1" si="1"/>
        <v>U</v>
      </c>
    </row>
    <row r="22" spans="1:9" ht="12.75" customHeight="1">
      <c r="A22" s="86">
        <f t="shared" ca="1" si="0"/>
        <v>5</v>
      </c>
      <c r="B22" s="26" t="s">
        <v>106</v>
      </c>
      <c r="C22" s="80" t="str">
        <f t="shared" ca="1" si="1"/>
        <v>N</v>
      </c>
    </row>
    <row r="23" spans="1:9" ht="12.75" customHeight="1">
      <c r="A23" s="86">
        <f t="shared" ca="1" si="0"/>
        <v>4</v>
      </c>
      <c r="B23" s="26" t="s">
        <v>107</v>
      </c>
      <c r="C23" s="80" t="str">
        <f t="shared" ca="1" si="1"/>
        <v>M</v>
      </c>
    </row>
    <row r="24" spans="1:9" ht="12.75" customHeight="1">
      <c r="A24" s="86">
        <f t="shared" ca="1" si="0"/>
        <v>2</v>
      </c>
      <c r="B24" s="26" t="s">
        <v>108</v>
      </c>
      <c r="C24" s="80" t="str">
        <f t="shared" ca="1" si="1"/>
        <v>G</v>
      </c>
    </row>
    <row r="25" spans="1:9" ht="12.75" customHeight="1">
      <c r="A25" s="86">
        <f t="shared" ca="1" si="0"/>
        <v>5</v>
      </c>
      <c r="B25" s="26" t="s">
        <v>109</v>
      </c>
      <c r="C25" s="80" t="str">
        <f t="shared" ca="1" si="1"/>
        <v>N</v>
      </c>
    </row>
  </sheetData>
  <customSheetViews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4" bestFit="1" customWidth="1"/>
    <col min="2" max="2" width="8.28515625" style="24" customWidth="1"/>
    <col min="3" max="3" width="8.7109375" style="24" bestFit="1" customWidth="1"/>
    <col min="4" max="7" width="9.140625" style="24"/>
    <col min="8" max="8" width="12.42578125" style="24" bestFit="1" customWidth="1"/>
    <col min="9" max="16384" width="9.140625" style="24"/>
  </cols>
  <sheetData>
    <row r="1" spans="1:8">
      <c r="C1" s="29"/>
    </row>
    <row r="3" spans="1:8">
      <c r="A3" s="25" t="s">
        <v>53</v>
      </c>
      <c r="B3" s="25" t="s">
        <v>268</v>
      </c>
      <c r="C3" s="25" t="s">
        <v>11</v>
      </c>
    </row>
    <row r="4" spans="1:8">
      <c r="A4" s="26" t="s">
        <v>54</v>
      </c>
      <c r="B4" s="26" t="str">
        <f ca="1">IF(RAND()&lt;0.33,"1A",IF(RAND()&lt;0.66,"1B","1C"))</f>
        <v>1B</v>
      </c>
      <c r="C4" s="71">
        <f ca="1">RAND()*55+5</f>
        <v>34.778510994581154</v>
      </c>
    </row>
    <row r="5" spans="1:8">
      <c r="A5" s="26" t="s">
        <v>55</v>
      </c>
      <c r="B5" s="26" t="str">
        <f t="shared" ref="B5:B27" ca="1" si="0">IF(RAND()&lt;0.33,"1A",IF(RAND()&lt;0.66,"1B","1C"))</f>
        <v>1C</v>
      </c>
      <c r="C5" s="71">
        <f t="shared" ref="C5:C27" ca="1" si="1">RAND()*55+5</f>
        <v>19.574190574132601</v>
      </c>
    </row>
    <row r="6" spans="1:8">
      <c r="A6" s="26" t="s">
        <v>56</v>
      </c>
      <c r="B6" s="26" t="str">
        <f t="shared" ca="1" si="0"/>
        <v>1B</v>
      </c>
      <c r="C6" s="71">
        <f t="shared" ca="1" si="1"/>
        <v>15.986609438845887</v>
      </c>
    </row>
    <row r="7" spans="1:8">
      <c r="A7" s="26" t="s">
        <v>57</v>
      </c>
      <c r="B7" s="26" t="str">
        <f t="shared" ca="1" si="0"/>
        <v>1B</v>
      </c>
      <c r="C7" s="71">
        <f t="shared" ca="1" si="1"/>
        <v>19.845348794723932</v>
      </c>
    </row>
    <row r="8" spans="1:8">
      <c r="A8" s="26" t="s">
        <v>58</v>
      </c>
      <c r="B8" s="26" t="str">
        <f t="shared" ca="1" si="0"/>
        <v>1B</v>
      </c>
      <c r="C8" s="71">
        <f t="shared" ca="1" si="1"/>
        <v>30.001852083731073</v>
      </c>
    </row>
    <row r="9" spans="1:8">
      <c r="A9" s="26" t="s">
        <v>59</v>
      </c>
      <c r="B9" s="26" t="str">
        <f t="shared" ca="1" si="0"/>
        <v>1A</v>
      </c>
      <c r="C9" s="71">
        <f t="shared" ca="1" si="1"/>
        <v>27.548636665001681</v>
      </c>
    </row>
    <row r="10" spans="1:8">
      <c r="A10" s="26" t="s">
        <v>60</v>
      </c>
      <c r="B10" s="26" t="str">
        <f t="shared" ca="1" si="0"/>
        <v>1B</v>
      </c>
      <c r="C10" s="71">
        <f t="shared" ca="1" si="1"/>
        <v>39.814161614585601</v>
      </c>
    </row>
    <row r="11" spans="1:8">
      <c r="A11" s="26" t="s">
        <v>61</v>
      </c>
      <c r="B11" s="26" t="str">
        <f t="shared" ca="1" si="0"/>
        <v>1A</v>
      </c>
      <c r="C11" s="71">
        <f t="shared" ca="1" si="1"/>
        <v>5.9072053622383081</v>
      </c>
    </row>
    <row r="12" spans="1:8">
      <c r="A12" s="26" t="s">
        <v>62</v>
      </c>
      <c r="B12" s="26" t="str">
        <f t="shared" ca="1" si="0"/>
        <v>1B</v>
      </c>
      <c r="C12" s="71">
        <f t="shared" ca="1" si="1"/>
        <v>13.395362806107636</v>
      </c>
    </row>
    <row r="13" spans="1:8">
      <c r="A13" s="26" t="s">
        <v>63</v>
      </c>
      <c r="B13" s="26" t="str">
        <f t="shared" ca="1" si="0"/>
        <v>1A</v>
      </c>
      <c r="C13" s="71">
        <f t="shared" ca="1" si="1"/>
        <v>10.532013631292486</v>
      </c>
    </row>
    <row r="14" spans="1:8">
      <c r="A14" s="26" t="s">
        <v>64</v>
      </c>
      <c r="B14" s="26" t="str">
        <f t="shared" ca="1" si="0"/>
        <v>1A</v>
      </c>
      <c r="C14" s="71">
        <f t="shared" ca="1" si="1"/>
        <v>40.132035420212887</v>
      </c>
    </row>
    <row r="15" spans="1:8" ht="13.5" thickBot="1">
      <c r="A15" s="26" t="s">
        <v>97</v>
      </c>
      <c r="B15" s="26" t="str">
        <f t="shared" ca="1" si="0"/>
        <v>1A</v>
      </c>
      <c r="C15" s="71">
        <f t="shared" ca="1" si="1"/>
        <v>33.699067959013973</v>
      </c>
    </row>
    <row r="16" spans="1:8">
      <c r="A16" s="26" t="s">
        <v>98</v>
      </c>
      <c r="B16" s="26" t="str">
        <f t="shared" ca="1" si="0"/>
        <v>1B</v>
      </c>
      <c r="C16" s="71">
        <f t="shared" ca="1" si="1"/>
        <v>52.72257115258904</v>
      </c>
      <c r="G16" s="123" t="s">
        <v>268</v>
      </c>
      <c r="H16" s="124" t="s">
        <v>272</v>
      </c>
    </row>
    <row r="17" spans="1:8">
      <c r="A17" s="26" t="s">
        <v>99</v>
      </c>
      <c r="B17" s="26" t="str">
        <f t="shared" ca="1" si="0"/>
        <v>1A</v>
      </c>
      <c r="C17" s="71">
        <f t="shared" ca="1" si="1"/>
        <v>32.127818889367219</v>
      </c>
      <c r="G17" s="125" t="s">
        <v>269</v>
      </c>
      <c r="H17" s="127"/>
    </row>
    <row r="18" spans="1:8">
      <c r="A18" s="26" t="s">
        <v>100</v>
      </c>
      <c r="B18" s="26" t="str">
        <f t="shared" ca="1" si="0"/>
        <v>1B</v>
      </c>
      <c r="C18" s="71">
        <f t="shared" ca="1" si="1"/>
        <v>45.494246625435885</v>
      </c>
      <c r="G18" s="125" t="s">
        <v>270</v>
      </c>
      <c r="H18" s="127"/>
    </row>
    <row r="19" spans="1:8" ht="13.5" thickBot="1">
      <c r="A19" s="26" t="s">
        <v>101</v>
      </c>
      <c r="B19" s="26" t="str">
        <f t="shared" ca="1" si="0"/>
        <v>1A</v>
      </c>
      <c r="C19" s="71">
        <f t="shared" ca="1" si="1"/>
        <v>23.410369971513102</v>
      </c>
      <c r="G19" s="126" t="s">
        <v>271</v>
      </c>
      <c r="H19" s="128"/>
    </row>
    <row r="20" spans="1:8">
      <c r="A20" s="26" t="s">
        <v>102</v>
      </c>
      <c r="B20" s="26" t="str">
        <f t="shared" ca="1" si="0"/>
        <v>1C</v>
      </c>
      <c r="C20" s="71">
        <f t="shared" ca="1" si="1"/>
        <v>47.400998692091854</v>
      </c>
    </row>
    <row r="21" spans="1:8">
      <c r="A21" s="26" t="s">
        <v>103</v>
      </c>
      <c r="B21" s="26" t="str">
        <f t="shared" ca="1" si="0"/>
        <v>1C</v>
      </c>
      <c r="C21" s="71">
        <f t="shared" ca="1" si="1"/>
        <v>13.254511465892998</v>
      </c>
    </row>
    <row r="22" spans="1:8">
      <c r="A22" s="26" t="s">
        <v>104</v>
      </c>
      <c r="B22" s="26" t="str">
        <f t="shared" ca="1" si="0"/>
        <v>1B</v>
      </c>
      <c r="C22" s="71">
        <f t="shared" ca="1" si="1"/>
        <v>24.833116926305088</v>
      </c>
    </row>
    <row r="23" spans="1:8">
      <c r="A23" s="26" t="s">
        <v>105</v>
      </c>
      <c r="B23" s="26" t="str">
        <f t="shared" ca="1" si="0"/>
        <v>1B</v>
      </c>
      <c r="C23" s="71">
        <f t="shared" ca="1" si="1"/>
        <v>29.739988362507983</v>
      </c>
    </row>
    <row r="24" spans="1:8">
      <c r="A24" s="26" t="s">
        <v>106</v>
      </c>
      <c r="B24" s="26" t="str">
        <f t="shared" ca="1" si="0"/>
        <v>1B</v>
      </c>
      <c r="C24" s="71">
        <f t="shared" ca="1" si="1"/>
        <v>13.46482034791951</v>
      </c>
    </row>
    <row r="25" spans="1:8">
      <c r="A25" s="26" t="s">
        <v>107</v>
      </c>
      <c r="B25" s="26" t="str">
        <f t="shared" ca="1" si="0"/>
        <v>1A</v>
      </c>
      <c r="C25" s="71">
        <f t="shared" ca="1" si="1"/>
        <v>35.946516506993397</v>
      </c>
    </row>
    <row r="26" spans="1:8">
      <c r="A26" s="26" t="s">
        <v>108</v>
      </c>
      <c r="B26" s="26" t="str">
        <f t="shared" ca="1" si="0"/>
        <v>1A</v>
      </c>
      <c r="C26" s="71">
        <f t="shared" ca="1" si="1"/>
        <v>25.149720468736284</v>
      </c>
    </row>
    <row r="27" spans="1:8">
      <c r="A27" s="26" t="s">
        <v>109</v>
      </c>
      <c r="B27" s="26" t="str">
        <f t="shared" ca="1" si="0"/>
        <v>1C</v>
      </c>
      <c r="C27" s="71">
        <f t="shared" ca="1" si="1"/>
        <v>48.204675715058144</v>
      </c>
    </row>
  </sheetData>
  <customSheetViews>
    <customSheetView guid="{3DF5E802-5CA5-43EF-BE6A-D6FCDA5F65F2}">
      <selection activeCell="B13" sqref="B13"/>
      <pageMargins left="0.75" right="0.75" top="1" bottom="1" header="0.5" footer="0.5"/>
      <headerFooter alignWithMargins="0"/>
    </customSheetView>
    <customSheetView guid="{F9B480CE-077C-416E-ACF9-56227F746F4A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B8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Szymon pietrasik</cp:lastModifiedBy>
  <dcterms:created xsi:type="dcterms:W3CDTF">2006-11-26T20:35:52Z</dcterms:created>
  <dcterms:modified xsi:type="dcterms:W3CDTF">2025-09-19T10:27:41Z</dcterms:modified>
</cp:coreProperties>
</file>