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300" yWindow="-135" windowWidth="11595" windowHeight="12465" tabRatio="814" activeTab="9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4519"/>
  <customWorkbookViews>
    <customWorkbookView name="jdworowski - Widok osobisty" guid="{F9B480CE-077C-416E-ACF9-56227F746F4A}" mergeInterval="0" personalView="1" maximized="1" xWindow="1" yWindow="1" windowWidth="1830" windowHeight="890" tabRatio="814" activeSheetId="1"/>
    <customWorkbookView name="bkaszubowska - Widok osobisty" guid="{3DF5E802-5CA5-43EF-BE6A-D6FCDA5F65F2}" mergeInterval="0" personalView="1" maximized="1" xWindow="1" yWindow="1" windowWidth="1916" windowHeight="861" tabRatio="814" activeSheetId="17"/>
  </customWorkbookViews>
</workbook>
</file>

<file path=xl/calcChain.xml><?xml version="1.0" encoding="utf-8"?>
<calcChain xmlns="http://schemas.openxmlformats.org/spreadsheetml/2006/main"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B3" s="1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2" i="5"/>
  <c r="B12" i="4"/>
  <c r="B13"/>
  <c r="B14"/>
  <c r="B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A8"/>
  <c r="C8" s="1"/>
  <c r="D8" s="1"/>
  <c r="A9"/>
  <c r="C9" s="1"/>
  <c r="D9" s="1"/>
  <c r="A10"/>
  <c r="C10" s="1"/>
  <c r="D10" s="1"/>
  <c r="A11"/>
  <c r="C11" s="1"/>
  <c r="D11" s="1"/>
  <c r="A12"/>
  <c r="C12" s="1"/>
  <c r="D12" s="1"/>
  <c r="A13"/>
  <c r="C13" s="1"/>
  <c r="D13" s="1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A2" i="12"/>
  <c r="A3" s="1"/>
  <c r="B3" s="1"/>
  <c r="C7" i="19" l="1"/>
  <c r="D7" s="1"/>
  <c r="B29" i="3"/>
  <c r="B29" i="2"/>
  <c r="B29" i="1"/>
  <c r="B28"/>
  <c r="A4" i="14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F40" s="1"/>
  <c r="B41"/>
  <c r="C41"/>
  <c r="D41" s="1"/>
  <c r="B42"/>
  <c r="C42"/>
  <c r="D42" s="1"/>
  <c r="F42" s="1"/>
  <c r="B43"/>
  <c r="C43"/>
  <c r="D43" s="1"/>
  <c r="F43" s="1"/>
  <c r="B44"/>
  <c r="C44"/>
  <c r="D44" s="1"/>
  <c r="F44" s="1"/>
  <c r="B45"/>
  <c r="C45"/>
  <c r="D45" s="1"/>
  <c r="F45" s="1"/>
  <c r="B46"/>
  <c r="C46"/>
  <c r="D46" s="1"/>
  <c r="F46" s="1"/>
  <c r="B47"/>
  <c r="C47"/>
  <c r="D47" s="1"/>
  <c r="F47" s="1"/>
  <c r="B48"/>
  <c r="C48"/>
  <c r="D48" s="1"/>
  <c r="F48" s="1"/>
  <c r="B49"/>
  <c r="C49"/>
  <c r="D49" s="1"/>
  <c r="F49" s="1"/>
  <c r="B50"/>
  <c r="C50"/>
  <c r="D50" s="1"/>
  <c r="F50" s="1"/>
  <c r="B51"/>
  <c r="C51"/>
  <c r="D51" s="1"/>
  <c r="F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F27" s="1"/>
  <c r="C3"/>
  <c r="D3" s="1"/>
  <c r="C4"/>
  <c r="D4" s="1"/>
  <c r="F4" s="1"/>
  <c r="C5"/>
  <c r="D5" s="1"/>
  <c r="F5" s="1"/>
  <c r="C6"/>
  <c r="D6" s="1"/>
  <c r="F6" s="1"/>
  <c r="C7"/>
  <c r="D7" s="1"/>
  <c r="C8"/>
  <c r="D8" s="1"/>
  <c r="F8" s="1"/>
  <c r="C9"/>
  <c r="D9" s="1"/>
  <c r="F9" s="1"/>
  <c r="C10"/>
  <c r="D10" s="1"/>
  <c r="F10" s="1"/>
  <c r="C11"/>
  <c r="D11" s="1"/>
  <c r="C12"/>
  <c r="D12" s="1"/>
  <c r="F12" s="1"/>
  <c r="C13"/>
  <c r="D13" s="1"/>
  <c r="F13" s="1"/>
  <c r="C14"/>
  <c r="D14" s="1"/>
  <c r="F14" s="1"/>
  <c r="C15"/>
  <c r="D15" s="1"/>
  <c r="C16"/>
  <c r="D16" s="1"/>
  <c r="F16" s="1"/>
  <c r="C17"/>
  <c r="D17" s="1"/>
  <c r="F17" s="1"/>
  <c r="C18"/>
  <c r="D18" s="1"/>
  <c r="F18" s="1"/>
  <c r="C19"/>
  <c r="D19" s="1"/>
  <c r="C20"/>
  <c r="D20" s="1"/>
  <c r="F20" s="1"/>
  <c r="C21"/>
  <c r="D21" s="1"/>
  <c r="F21" s="1"/>
  <c r="C22"/>
  <c r="D22" s="1"/>
  <c r="F22" s="1"/>
  <c r="C23"/>
  <c r="D23" s="1"/>
  <c r="C24"/>
  <c r="D24" s="1"/>
  <c r="F24" s="1"/>
  <c r="C25"/>
  <c r="D25" s="1"/>
  <c r="F25" s="1"/>
  <c r="C26"/>
  <c r="D26" s="1"/>
  <c r="F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L26" s="1"/>
  <c r="D25"/>
  <c r="L25" s="1"/>
  <c r="D24"/>
  <c r="L24" s="1"/>
  <c r="D23"/>
  <c r="L23" s="1"/>
  <c r="D22"/>
  <c r="L22" s="1"/>
  <c r="D21"/>
  <c r="L21" s="1"/>
  <c r="D20"/>
  <c r="L20" s="1"/>
  <c r="D19"/>
  <c r="L19" s="1"/>
  <c r="D18"/>
  <c r="L18" s="1"/>
  <c r="D17"/>
  <c r="L17" s="1"/>
  <c r="D16"/>
  <c r="L16" s="1"/>
  <c r="D15"/>
  <c r="L15" s="1"/>
  <c r="D14"/>
  <c r="L14" s="1"/>
  <c r="D13"/>
  <c r="L13" s="1"/>
  <c r="D12"/>
  <c r="L12" s="1"/>
  <c r="D11"/>
  <c r="L11" s="1"/>
  <c r="D10"/>
  <c r="L10" s="1"/>
  <c r="D9"/>
  <c r="L9" s="1"/>
  <c r="D8"/>
  <c r="L8" s="1"/>
  <c r="D7"/>
  <c r="L7" s="1"/>
  <c r="D6"/>
  <c r="L6" s="1"/>
  <c r="D5"/>
  <c r="L5" s="1"/>
  <c r="D4"/>
  <c r="L4" s="1"/>
  <c r="D3"/>
  <c r="L3" s="1"/>
  <c r="D2"/>
  <c r="L2" s="1"/>
  <c r="E26" i="7"/>
  <c r="L26" s="1"/>
  <c r="E25"/>
  <c r="L25" s="1"/>
  <c r="E24"/>
  <c r="L24" s="1"/>
  <c r="E23"/>
  <c r="L23" s="1"/>
  <c r="E22"/>
  <c r="L22" s="1"/>
  <c r="E21"/>
  <c r="L21" s="1"/>
  <c r="E20"/>
  <c r="L20" s="1"/>
  <c r="E19"/>
  <c r="L19" s="1"/>
  <c r="E18"/>
  <c r="L18" s="1"/>
  <c r="E17"/>
  <c r="L17" s="1"/>
  <c r="E16"/>
  <c r="L16" s="1"/>
  <c r="E15"/>
  <c r="L15" s="1"/>
  <c r="E14"/>
  <c r="L14" s="1"/>
  <c r="E13"/>
  <c r="L13" s="1"/>
  <c r="E12"/>
  <c r="L12" s="1"/>
  <c r="E11"/>
  <c r="L11" s="1"/>
  <c r="E10"/>
  <c r="L10" s="1"/>
  <c r="E9"/>
  <c r="L9" s="1"/>
  <c r="E8"/>
  <c r="L8" s="1"/>
  <c r="E7"/>
  <c r="L7" s="1"/>
  <c r="E6"/>
  <c r="L6" s="1"/>
  <c r="E5"/>
  <c r="L5" s="1"/>
  <c r="E4"/>
  <c r="L4" s="1"/>
  <c r="E3"/>
  <c r="L3" s="1"/>
  <c r="E2"/>
  <c r="L2" s="1"/>
  <c r="B1" i="6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C10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B2"/>
  <c r="C12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E50" i="10" l="1"/>
  <c r="E46"/>
  <c r="E42"/>
  <c r="E38"/>
  <c r="E34"/>
  <c r="E30"/>
  <c r="E26"/>
  <c r="E22"/>
  <c r="E18"/>
  <c r="E14"/>
  <c r="E10"/>
  <c r="E6"/>
  <c r="E51"/>
  <c r="E47"/>
  <c r="E43"/>
  <c r="E39"/>
  <c r="E35"/>
  <c r="E31"/>
  <c r="E27"/>
  <c r="E23"/>
  <c r="E19"/>
  <c r="E15"/>
  <c r="E11"/>
  <c r="E7"/>
  <c r="E3"/>
  <c r="E48"/>
  <c r="E44"/>
  <c r="E40"/>
  <c r="E36"/>
  <c r="E32"/>
  <c r="E28"/>
  <c r="E24"/>
  <c r="E20"/>
  <c r="E16"/>
  <c r="E12"/>
  <c r="E8"/>
  <c r="E4"/>
  <c r="E49"/>
  <c r="E45"/>
  <c r="E41"/>
  <c r="E37"/>
  <c r="E33"/>
  <c r="E29"/>
  <c r="E25"/>
  <c r="E21"/>
  <c r="E17"/>
  <c r="E13"/>
  <c r="E9"/>
  <c r="E5"/>
  <c r="E2"/>
  <c r="F23" i="9"/>
  <c r="F19"/>
  <c r="F15"/>
  <c r="F11"/>
  <c r="F7"/>
  <c r="F3"/>
  <c r="F38"/>
  <c r="F36"/>
  <c r="F34"/>
  <c r="F32"/>
  <c r="F30"/>
  <c r="F28"/>
  <c r="F41"/>
  <c r="F39"/>
  <c r="F37"/>
  <c r="F35"/>
  <c r="F33"/>
  <c r="F31"/>
  <c r="F29"/>
  <c r="F2"/>
  <c r="D4" i="6"/>
  <c r="D8"/>
  <c r="D12"/>
  <c r="D16"/>
  <c r="D20"/>
  <c r="D24"/>
  <c r="D11"/>
  <c r="D15"/>
  <c r="D19"/>
  <c r="D23"/>
  <c r="D27"/>
  <c r="D10"/>
  <c r="D14"/>
  <c r="D18"/>
  <c r="D22"/>
  <c r="D26"/>
  <c r="D9"/>
  <c r="D13"/>
  <c r="D17"/>
  <c r="D21"/>
  <c r="D25"/>
  <c r="D7"/>
  <c r="D6"/>
  <c r="D5"/>
  <c r="C200" i="4"/>
  <c r="C196"/>
  <c r="C192"/>
  <c r="C184"/>
  <c r="C176"/>
  <c r="C168"/>
  <c r="C160"/>
  <c r="C152"/>
  <c r="C144"/>
  <c r="C140"/>
  <c r="C132"/>
  <c r="C124"/>
  <c r="C116"/>
  <c r="C108"/>
  <c r="C104"/>
  <c r="C96"/>
  <c r="C88"/>
  <c r="C80"/>
  <c r="C72"/>
  <c r="C68"/>
  <c r="C60"/>
  <c r="C52"/>
  <c r="C44"/>
  <c r="C36"/>
  <c r="C28"/>
  <c r="C197"/>
  <c r="C193"/>
  <c r="C189"/>
  <c r="C185"/>
  <c r="C181"/>
  <c r="C177"/>
  <c r="C173"/>
  <c r="C169"/>
  <c r="C165"/>
  <c r="C161"/>
  <c r="C157"/>
  <c r="C153"/>
  <c r="C149"/>
  <c r="C145"/>
  <c r="C141"/>
  <c r="C137"/>
  <c r="C133"/>
  <c r="C129"/>
  <c r="C125"/>
  <c r="C121"/>
  <c r="C117"/>
  <c r="C113"/>
  <c r="C109"/>
  <c r="C105"/>
  <c r="C101"/>
  <c r="C97"/>
  <c r="C93"/>
  <c r="C89"/>
  <c r="C85"/>
  <c r="C81"/>
  <c r="C77"/>
  <c r="C73"/>
  <c r="C69"/>
  <c r="C65"/>
  <c r="C61"/>
  <c r="C57"/>
  <c r="C53"/>
  <c r="C49"/>
  <c r="C45"/>
  <c r="C41"/>
  <c r="C37"/>
  <c r="C33"/>
  <c r="C29"/>
  <c r="C25"/>
  <c r="C21"/>
  <c r="C17"/>
  <c r="C14"/>
  <c r="C190"/>
  <c r="C182"/>
  <c r="C174"/>
  <c r="C166"/>
  <c r="C158"/>
  <c r="C146"/>
  <c r="C138"/>
  <c r="C130"/>
  <c r="C122"/>
  <c r="C114"/>
  <c r="C102"/>
  <c r="C94"/>
  <c r="C86"/>
  <c r="C74"/>
  <c r="C66"/>
  <c r="C58"/>
  <c r="C50"/>
  <c r="C42"/>
  <c r="C34"/>
  <c r="C26"/>
  <c r="C22"/>
  <c r="C18"/>
  <c r="C15"/>
  <c r="C198"/>
  <c r="C194"/>
  <c r="C186"/>
  <c r="C178"/>
  <c r="C170"/>
  <c r="C162"/>
  <c r="C154"/>
  <c r="C150"/>
  <c r="C142"/>
  <c r="C134"/>
  <c r="C126"/>
  <c r="C118"/>
  <c r="C110"/>
  <c r="C106"/>
  <c r="C98"/>
  <c r="C90"/>
  <c r="C82"/>
  <c r="C78"/>
  <c r="C70"/>
  <c r="C62"/>
  <c r="C54"/>
  <c r="C46"/>
  <c r="C38"/>
  <c r="C30"/>
  <c r="C199"/>
  <c r="C195"/>
  <c r="C191"/>
  <c r="C187"/>
  <c r="C183"/>
  <c r="C179"/>
  <c r="C175"/>
  <c r="C171"/>
  <c r="C167"/>
  <c r="C163"/>
  <c r="C159"/>
  <c r="C155"/>
  <c r="C151"/>
  <c r="C147"/>
  <c r="C143"/>
  <c r="C139"/>
  <c r="C135"/>
  <c r="C131"/>
  <c r="C127"/>
  <c r="C123"/>
  <c r="C119"/>
  <c r="C115"/>
  <c r="C111"/>
  <c r="C107"/>
  <c r="C103"/>
  <c r="C99"/>
  <c r="C95"/>
  <c r="C91"/>
  <c r="C87"/>
  <c r="C83"/>
  <c r="C79"/>
  <c r="C75"/>
  <c r="C71"/>
  <c r="C67"/>
  <c r="C63"/>
  <c r="C59"/>
  <c r="C55"/>
  <c r="C51"/>
  <c r="C47"/>
  <c r="C43"/>
  <c r="C39"/>
  <c r="C35"/>
  <c r="C31"/>
  <c r="C27"/>
  <c r="C23"/>
  <c r="C19"/>
  <c r="C13"/>
  <c r="C188"/>
  <c r="C180"/>
  <c r="C172"/>
  <c r="C164"/>
  <c r="C156"/>
  <c r="C148"/>
  <c r="C136"/>
  <c r="C128"/>
  <c r="C120"/>
  <c r="C112"/>
  <c r="C100"/>
  <c r="C92"/>
  <c r="C84"/>
  <c r="C76"/>
  <c r="C64"/>
  <c r="C56"/>
  <c r="C48"/>
  <c r="C40"/>
  <c r="C32"/>
  <c r="C24"/>
  <c r="C20"/>
  <c r="C16"/>
  <c r="C11"/>
  <c r="C10"/>
  <c r="A5" i="14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</calcChain>
</file>

<file path=xl/sharedStrings.xml><?xml version="1.0" encoding="utf-8"?>
<sst xmlns="http://schemas.openxmlformats.org/spreadsheetml/2006/main" count="884" uniqueCount="281">
  <si>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</si>
  <si>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</si>
  <si>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</si>
  <si>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</si>
  <si>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</si>
  <si>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</si>
  <si>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</si>
  <si>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</si>
  <si>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</si>
  <si>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</si>
  <si>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</si>
  <si>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</si>
  <si>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</si>
  <si>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</si>
  <si>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</si>
  <si>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</si>
  <si>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</si>
  <si>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</si>
  <si>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</si>
  <si>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</si>
  <si>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</si>
  <si>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</si>
  <si>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</si>
  <si>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</si>
  <si>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</si>
  <si>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</si>
  <si>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</si>
  <si>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</si>
  <si>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</si>
  <si>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</si>
  <si>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</si>
  <si>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</si>
  <si>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</si>
  <si>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</si>
  <si>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</si>
  <si>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</si>
  <si>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</si>
  <si>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</si>
  <si>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</si>
  <si>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</si>
  <si>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</si>
  <si>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</si>
  <si>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</si>
  <si>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</si>
  <si>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</si>
  <si>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</si>
  <si>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</si>
  <si>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</si>
  <si>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</si>
  <si>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</si>
  <si>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</si>
  <si>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</si>
  <si>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</si>
  <si>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</si>
  <si>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</si>
  <si>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</si>
  <si>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</si>
  <si>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</si>
  <si>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</si>
  <si>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</si>
  <si>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</si>
  <si>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</si>
  <si>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</si>
  <si>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</si>
  <si>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</si>
  <si>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</si>
  <si>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</si>
  <si>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</si>
  <si>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</si>
  <si>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</si>
  <si>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</si>
  <si>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</si>
  <si>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</si>
  <si>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</si>
  <si>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</si>
  <si>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</si>
  <si>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</si>
  <si>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</si>
  <si>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</si>
  <si>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</si>
  <si>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</si>
  <si>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</si>
  <si>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</si>
  <si>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</si>
  <si>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</si>
  <si>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</si>
  <si>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</si>
  <si>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</si>
  <si>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</si>
  <si>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</si>
  <si>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</si>
  <si>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</si>
  <si>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</si>
  <si>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</si>
  <si>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</si>
  <si>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</si>
  <si>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</si>
  <si>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</si>
  <si>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</si>
  <si>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</si>
  <si>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</si>
  <si>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</si>
  <si>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</si>
  <si>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</si>
  <si>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</si>
  <si>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</si>
  <si>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</si>
  <si>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</si>
  <si>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</si>
  <si>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</si>
  <si>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</si>
  <si>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</si>
  <si>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</si>
  <si>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</si>
  <si>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</si>
  <si>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</si>
  <si>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</si>
  <si>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</si>
  <si>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</si>
  <si>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</si>
  <si>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</si>
  <si>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</si>
  <si>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</si>
  <si>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</si>
  <si>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</si>
  <si>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</si>
  <si>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</si>
  <si>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</si>
  <si>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</si>
  <si>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</si>
  <si>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</si>
  <si>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</si>
  <si>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</si>
  <si>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</si>
  <si>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</si>
  <si>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</si>
  <si>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</si>
  <si>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</si>
  <si>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</si>
  <si>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</si>
  <si>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</si>
  <si>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</si>
  <si>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</si>
  <si>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</si>
  <si>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</si>
  <si>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</si>
  <si>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</si>
  <si>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</si>
  <si>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</si>
  <si>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</si>
  <si>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</si>
  <si>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</si>
  <si>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</si>
  <si>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</si>
  <si>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</si>
  <si>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</si>
  <si>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</si>
  <si>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</si>
  <si>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</si>
  <si>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</si>
  <si>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</si>
  <si>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</si>
  <si>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</si>
  <si>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</si>
  <si>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</si>
  <si>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</si>
  <si>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</si>
  <si>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</si>
  <si>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</si>
  <si>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</si>
  <si>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</si>
  <si>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</si>
  <si>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</si>
  <si>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</si>
  <si>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</si>
  <si>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</si>
  <si>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</si>
  <si>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</si>
  <si>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</si>
  <si>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</si>
  <si>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</si>
  <si>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</si>
  <si>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</si>
  <si>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</si>
  <si>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</si>
  <si>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</si>
  <si>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</si>
  <si>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</si>
  <si>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</si>
  <si>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</si>
  <si>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</si>
  <si>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</si>
  <si>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</si>
  <si>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</si>
  <si>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</si>
  <si>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</si>
  <si>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</si>
  <si>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</si>
  <si>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</si>
  <si>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</si>
  <si>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</si>
  <si>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</si>
  <si>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</si>
  <si>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</si>
  <si>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</si>
  <si>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</si>
  <si>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</si>
  <si>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</si>
  <si>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</si>
  <si>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</si>
  <si>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</si>
  <si>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</si>
  <si>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</si>
  <si>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</si>
  <si>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</si>
  <si>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</si>
  <si>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</si>
  <si>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</si>
  <si>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</si>
  <si>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</si>
  <si>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</si>
  <si>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</si>
  <si>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</si>
  <si>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</si>
  <si>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</si>
  <si>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</si>
  <si>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</si>
  <si>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</si>
  <si>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</si>
  <si>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</si>
  <si>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</si>
  <si>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</si>
  <si>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</si>
  <si>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</si>
  <si>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</si>
  <si>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</si>
  <si>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</si>
  <si>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</si>
  <si>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</si>
  <si>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</si>
  <si>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</si>
  <si>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</si>
  <si>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</si>
  <si>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</si>
  <si>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</si>
  <si>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</si>
  <si>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</si>
  <si>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</si>
  <si>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</si>
  <si>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</si>
  <si>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</si>
  <si>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</si>
  <si>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</si>
  <si>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</si>
  <si>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</si>
  <si>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</si>
  <si>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</si>
  <si>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</si>
  <si>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</si>
  <si>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</si>
  <si>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</si>
  <si>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</si>
  <si>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</si>
  <si>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</si>
  <si>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</si>
  <si>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</si>
  <si>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</si>
  <si>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</si>
  <si>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</si>
  <si>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</si>
  <si>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</si>
  <si>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</si>
  <si>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</si>
  <si>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</si>
  <si>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</si>
  <si>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</si>
  <si>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Cena biletu</t>
  </si>
  <si>
    <t>Liczba tirów</t>
  </si>
  <si>
    <t>Dni tygodnia</t>
  </si>
  <si>
    <t>włoski (Wiśniewska)</t>
  </si>
  <si>
    <t xml:space="preserve">dla y = 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</si>
</sst>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2">
    <font>
      <sz val="10"/>
      <name val="Arial"/>
      <charset val="238"/>
    </font>
    <font>
      <sz val="10"/>
      <name val="Arial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2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3" fillId="0" borderId="0" xfId="0" applyFont="1"/>
    <xf numFmtId="44" fontId="10" fillId="0" borderId="5" xfId="8" applyFont="1" applyBorder="1" applyAlignment="1">
      <alignment vertical="top" wrapText="1"/>
    </xf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right"/>
    </xf>
    <xf numFmtId="44" fontId="3" fillId="0" borderId="0" xfId="5" applyNumberFormat="1"/>
    <xf numFmtId="44" fontId="15" fillId="7" borderId="18" xfId="5" applyNumberFormat="1" applyFont="1" applyFill="1" applyBorder="1"/>
    <xf numFmtId="164" fontId="15" fillId="7" borderId="18" xfId="5" applyNumberFormat="1" applyFont="1" applyFill="1" applyBorder="1"/>
    <xf numFmtId="44" fontId="7" fillId="2" borderId="3" xfId="4" applyNumberFormat="1" applyFont="1" applyFill="1" applyBorder="1" applyProtection="1">
      <protection locked="0"/>
    </xf>
    <xf numFmtId="44" fontId="7" fillId="2" borderId="4" xfId="4" applyNumberFormat="1" applyFont="1" applyFill="1" applyBorder="1" applyProtection="1">
      <protection locked="0"/>
    </xf>
    <xf numFmtId="166" fontId="7" fillId="2" borderId="3" xfId="4" applyNumberFormat="1" applyFont="1" applyFill="1" applyBorder="1" applyProtection="1">
      <protection locked="0"/>
    </xf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295275</xdr:colOff>
      <xdr:row>14</xdr:row>
      <xdr:rowOff>152400</xdr:rowOff>
    </xdr:from>
    <xdr:to>
      <xdr:col>12</xdr:col>
      <xdr:colOff>9525</xdr:colOff>
      <xdr:row>33</xdr:row>
      <xdr:rowOff>19050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95950" y="2800350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6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M30" sqref="M30"/>
    </sheetView>
  </sheetViews>
  <sheetFormatPr defaultRowHeight="12.75"/>
  <cols>
    <col min="1" max="1" width="8.28515625" style="24" bestFit="1" customWidth="1"/>
    <col min="2" max="2" width="17.140625" style="24" customWidth="1"/>
    <col min="3" max="16384" width="9.140625" style="24"/>
  </cols>
  <sheetData>
    <row r="1" spans="1:2">
      <c r="B1" s="29"/>
    </row>
    <row r="3" spans="1:2">
      <c r="A3" s="25" t="s">
        <v>53</v>
      </c>
      <c r="B3" s="25" t="s">
        <v>111</v>
      </c>
    </row>
    <row r="4" spans="1:2">
      <c r="A4" s="26" t="s">
        <v>54</v>
      </c>
      <c r="B4" s="67">
        <f ca="1">IF(RAND()&lt;0.1,"brak",RAND()*319+52)</f>
        <v>76.767096795047109</v>
      </c>
    </row>
    <row r="5" spans="1:2">
      <c r="A5" s="26" t="s">
        <v>55</v>
      </c>
      <c r="B5" s="67">
        <f t="shared" ref="B5:B27" ca="1" si="0">IF(RAND()&lt;0.1,"brak",RAND()*319+52)</f>
        <v>261.63876650028169</v>
      </c>
    </row>
    <row r="6" spans="1:2">
      <c r="A6" s="26" t="s">
        <v>56</v>
      </c>
      <c r="B6" s="67">
        <f t="shared" ca="1" si="0"/>
        <v>208.03644348121045</v>
      </c>
    </row>
    <row r="7" spans="1:2">
      <c r="A7" s="26" t="s">
        <v>57</v>
      </c>
      <c r="B7" s="67">
        <f t="shared" ca="1" si="0"/>
        <v>352.91089934309144</v>
      </c>
    </row>
    <row r="8" spans="1:2">
      <c r="A8" s="26" t="s">
        <v>58</v>
      </c>
      <c r="B8" s="67">
        <f t="shared" ca="1" si="0"/>
        <v>105.90504586707036</v>
      </c>
    </row>
    <row r="9" spans="1:2">
      <c r="A9" s="26" t="s">
        <v>59</v>
      </c>
      <c r="B9" s="67">
        <f t="shared" ca="1" si="0"/>
        <v>258.66232900777243</v>
      </c>
    </row>
    <row r="10" spans="1:2">
      <c r="A10" s="26" t="s">
        <v>60</v>
      </c>
      <c r="B10" s="67" t="str">
        <f t="shared" ca="1" si="0"/>
        <v>brak</v>
      </c>
    </row>
    <row r="11" spans="1:2">
      <c r="A11" s="26" t="s">
        <v>61</v>
      </c>
      <c r="B11" s="67">
        <f t="shared" ca="1" si="0"/>
        <v>78.221064152134502</v>
      </c>
    </row>
    <row r="12" spans="1:2">
      <c r="A12" s="26" t="s">
        <v>62</v>
      </c>
      <c r="B12" s="67">
        <f t="shared" ca="1" si="0"/>
        <v>288.34965911722168</v>
      </c>
    </row>
    <row r="13" spans="1:2">
      <c r="A13" s="26" t="s">
        <v>63</v>
      </c>
      <c r="B13" s="67">
        <f t="shared" ca="1" si="0"/>
        <v>93.598856161358455</v>
      </c>
    </row>
    <row r="14" spans="1:2">
      <c r="A14" s="26" t="s">
        <v>64</v>
      </c>
      <c r="B14" s="67">
        <f t="shared" ca="1" si="0"/>
        <v>87.427583440488121</v>
      </c>
    </row>
    <row r="15" spans="1:2">
      <c r="A15" s="26" t="s">
        <v>97</v>
      </c>
      <c r="B15" s="67">
        <f t="shared" ca="1" si="0"/>
        <v>320.84189477775902</v>
      </c>
    </row>
    <row r="16" spans="1:2">
      <c r="A16" s="26" t="s">
        <v>98</v>
      </c>
      <c r="B16" s="67">
        <f t="shared" ca="1" si="0"/>
        <v>336.74915798413076</v>
      </c>
    </row>
    <row r="17" spans="1:2">
      <c r="A17" s="26" t="s">
        <v>99</v>
      </c>
      <c r="B17" s="67">
        <f t="shared" ca="1" si="0"/>
        <v>351.62350835761453</v>
      </c>
    </row>
    <row r="18" spans="1:2">
      <c r="A18" s="26" t="s">
        <v>100</v>
      </c>
      <c r="B18" s="67">
        <f t="shared" ca="1" si="0"/>
        <v>162.73183141880162</v>
      </c>
    </row>
    <row r="19" spans="1:2">
      <c r="A19" s="26" t="s">
        <v>101</v>
      </c>
      <c r="B19" s="67">
        <f t="shared" ca="1" si="0"/>
        <v>66.059895250295</v>
      </c>
    </row>
    <row r="20" spans="1:2">
      <c r="A20" s="26" t="s">
        <v>102</v>
      </c>
      <c r="B20" s="67">
        <f t="shared" ca="1" si="0"/>
        <v>226.69520297124058</v>
      </c>
    </row>
    <row r="21" spans="1:2">
      <c r="A21" s="26" t="s">
        <v>103</v>
      </c>
      <c r="B21" s="67">
        <f t="shared" ca="1" si="0"/>
        <v>65.672984131178083</v>
      </c>
    </row>
    <row r="22" spans="1:2">
      <c r="A22" s="26" t="s">
        <v>104</v>
      </c>
      <c r="B22" s="67">
        <f t="shared" ca="1" si="0"/>
        <v>152.77563216457327</v>
      </c>
    </row>
    <row r="23" spans="1:2">
      <c r="A23" s="26" t="s">
        <v>105</v>
      </c>
      <c r="B23" s="67">
        <f t="shared" ca="1" si="0"/>
        <v>287.80266177335818</v>
      </c>
    </row>
    <row r="24" spans="1:2">
      <c r="A24" s="26" t="s">
        <v>106</v>
      </c>
      <c r="B24" s="67">
        <f t="shared" ca="1" si="0"/>
        <v>131.55438937766419</v>
      </c>
    </row>
    <row r="25" spans="1:2">
      <c r="A25" s="26" t="s">
        <v>107</v>
      </c>
      <c r="B25" s="67">
        <f t="shared" ca="1" si="0"/>
        <v>251.48429129112728</v>
      </c>
    </row>
    <row r="26" spans="1:2">
      <c r="A26" s="26" t="s">
        <v>108</v>
      </c>
      <c r="B26" s="67">
        <f t="shared" ca="1" si="0"/>
        <v>295.94707470296328</v>
      </c>
    </row>
    <row r="27" spans="1:2">
      <c r="A27" s="26" t="s">
        <v>109</v>
      </c>
      <c r="B27" s="67">
        <f t="shared" ca="1" si="0"/>
        <v>102.99010736723305</v>
      </c>
    </row>
    <row r="28" spans="1:2" ht="13.5" thickBot="1">
      <c r="B28" s="136">
        <f ca="1">SUM(B4:B27)</f>
        <v>4564.4463754336148</v>
      </c>
    </row>
    <row r="29" spans="1:2" ht="13.5" thickBot="1">
      <c r="A29" s="24" t="s">
        <v>112</v>
      </c>
      <c r="B29" s="137">
        <f ca="1">ROUND(SUM(B4:B27),2)</f>
        <v>4564.45</v>
      </c>
    </row>
  </sheetData>
  <customSheetViews>
    <customSheetView guid="{F9B480CE-077C-416E-ACF9-56227F746F4A}">
      <selection activeCell="K2" sqref="K2"/>
      <pageMargins left="0.75" right="0.75" top="1" bottom="1" header="0.5" footer="0.5"/>
      <headerFooter alignWithMargins="0"/>
    </customSheetView>
    <customSheetView guid="{3DF5E802-5CA5-43EF-BE6A-D6FCDA5F65F2}">
      <selection activeCell="B2" sqref="B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29" sqref="B29"/>
    </sheetView>
  </sheetViews>
  <sheetFormatPr defaultRowHeight="12.75"/>
  <cols>
    <col min="1" max="1" width="8.28515625" style="24" bestFit="1" customWidth="1"/>
    <col min="2" max="2" width="17.140625" style="24" customWidth="1"/>
    <col min="3" max="16384" width="9.140625" style="24"/>
  </cols>
  <sheetData>
    <row r="1" spans="1:2">
      <c r="B1" s="29"/>
    </row>
    <row r="3" spans="1:2">
      <c r="A3" s="25" t="s">
        <v>53</v>
      </c>
      <c r="B3" s="25" t="s">
        <v>111</v>
      </c>
    </row>
    <row r="4" spans="1:2">
      <c r="A4" s="26" t="s">
        <v>54</v>
      </c>
      <c r="B4" s="67">
        <f ca="1">IF(RAND()&lt;0.1,"brak",RAND()*419+62)</f>
        <v>115.80344232041057</v>
      </c>
    </row>
    <row r="5" spans="1:2">
      <c r="A5" s="26" t="s">
        <v>55</v>
      </c>
      <c r="B5" s="67">
        <f t="shared" ref="B5:B27" ca="1" si="0">IF(RAND()&lt;0.1,"brak",RAND()*419+62)</f>
        <v>281.05176538418931</v>
      </c>
    </row>
    <row r="6" spans="1:2">
      <c r="A6" s="26" t="s">
        <v>56</v>
      </c>
      <c r="B6" s="67">
        <f t="shared" ca="1" si="0"/>
        <v>199.64182519195356</v>
      </c>
    </row>
    <row r="7" spans="1:2">
      <c r="A7" s="26" t="s">
        <v>57</v>
      </c>
      <c r="B7" s="67">
        <f t="shared" ca="1" si="0"/>
        <v>226.72913540185272</v>
      </c>
    </row>
    <row r="8" spans="1:2">
      <c r="A8" s="26" t="s">
        <v>58</v>
      </c>
      <c r="B8" s="67">
        <f t="shared" ca="1" si="0"/>
        <v>206.67638935206804</v>
      </c>
    </row>
    <row r="9" spans="1:2">
      <c r="A9" s="26" t="s">
        <v>59</v>
      </c>
      <c r="B9" s="67" t="str">
        <f t="shared" ca="1" si="0"/>
        <v>brak</v>
      </c>
    </row>
    <row r="10" spans="1:2">
      <c r="A10" s="26" t="s">
        <v>60</v>
      </c>
      <c r="B10" s="67">
        <f t="shared" ca="1" si="0"/>
        <v>295.67066159575239</v>
      </c>
    </row>
    <row r="11" spans="1:2">
      <c r="A11" s="26" t="s">
        <v>61</v>
      </c>
      <c r="B11" s="67">
        <f t="shared" ca="1" si="0"/>
        <v>196.43741330171198</v>
      </c>
    </row>
    <row r="12" spans="1:2">
      <c r="A12" s="26" t="s">
        <v>62</v>
      </c>
      <c r="B12" s="67">
        <f t="shared" ca="1" si="0"/>
        <v>206.141686219382</v>
      </c>
    </row>
    <row r="13" spans="1:2">
      <c r="A13" s="26" t="s">
        <v>63</v>
      </c>
      <c r="B13" s="67">
        <f t="shared" ca="1" si="0"/>
        <v>110.61609198258537</v>
      </c>
    </row>
    <row r="14" spans="1:2">
      <c r="A14" s="26" t="s">
        <v>64</v>
      </c>
      <c r="B14" s="67">
        <f t="shared" ca="1" si="0"/>
        <v>129.53471445931086</v>
      </c>
    </row>
    <row r="15" spans="1:2">
      <c r="A15" s="26" t="s">
        <v>97</v>
      </c>
      <c r="B15" s="67">
        <f t="shared" ca="1" si="0"/>
        <v>356.30503866177798</v>
      </c>
    </row>
    <row r="16" spans="1:2">
      <c r="A16" s="26" t="s">
        <v>98</v>
      </c>
      <c r="B16" s="67">
        <f t="shared" ca="1" si="0"/>
        <v>236.35387240118024</v>
      </c>
    </row>
    <row r="17" spans="1:2">
      <c r="A17" s="26" t="s">
        <v>99</v>
      </c>
      <c r="B17" s="67" t="str">
        <f t="shared" ca="1" si="0"/>
        <v>brak</v>
      </c>
    </row>
    <row r="18" spans="1:2">
      <c r="A18" s="26" t="s">
        <v>100</v>
      </c>
      <c r="B18" s="67">
        <f t="shared" ca="1" si="0"/>
        <v>437.90055225362454</v>
      </c>
    </row>
    <row r="19" spans="1:2">
      <c r="A19" s="26" t="s">
        <v>101</v>
      </c>
      <c r="B19" s="67">
        <f t="shared" ca="1" si="0"/>
        <v>101.76460486739927</v>
      </c>
    </row>
    <row r="20" spans="1:2">
      <c r="A20" s="26" t="s">
        <v>102</v>
      </c>
      <c r="B20" s="67">
        <f t="shared" ca="1" si="0"/>
        <v>251.93708393001236</v>
      </c>
    </row>
    <row r="21" spans="1:2">
      <c r="A21" s="26" t="s">
        <v>103</v>
      </c>
      <c r="B21" s="67">
        <f t="shared" ca="1" si="0"/>
        <v>278.26989517205243</v>
      </c>
    </row>
    <row r="22" spans="1:2">
      <c r="A22" s="26" t="s">
        <v>104</v>
      </c>
      <c r="B22" s="67">
        <f t="shared" ca="1" si="0"/>
        <v>158.44461406720251</v>
      </c>
    </row>
    <row r="23" spans="1:2">
      <c r="A23" s="26" t="s">
        <v>105</v>
      </c>
      <c r="B23" s="67">
        <f t="shared" ca="1" si="0"/>
        <v>150.98101216956951</v>
      </c>
    </row>
    <row r="24" spans="1:2">
      <c r="A24" s="26" t="s">
        <v>106</v>
      </c>
      <c r="B24" s="67">
        <f t="shared" ca="1" si="0"/>
        <v>294.06420301176684</v>
      </c>
    </row>
    <row r="25" spans="1:2">
      <c r="A25" s="26" t="s">
        <v>107</v>
      </c>
      <c r="B25" s="67">
        <f t="shared" ca="1" si="0"/>
        <v>340.48155948211502</v>
      </c>
    </row>
    <row r="26" spans="1:2">
      <c r="A26" s="26" t="s">
        <v>108</v>
      </c>
      <c r="B26" s="67">
        <f t="shared" ca="1" si="0"/>
        <v>211.86116265112545</v>
      </c>
    </row>
    <row r="27" spans="1:2">
      <c r="A27" s="26" t="s">
        <v>109</v>
      </c>
      <c r="B27" s="67">
        <f t="shared" ca="1" si="0"/>
        <v>147.74898362557514</v>
      </c>
    </row>
    <row r="28" spans="1:2" ht="13.5" thickBot="1"/>
    <row r="29" spans="1:2" ht="13.5" thickBot="1">
      <c r="A29" s="24" t="s">
        <v>112</v>
      </c>
      <c r="B29" s="137">
        <f ca="1">ROUND(MAX(B4:B27),-1)</f>
        <v>440</v>
      </c>
    </row>
  </sheetData>
  <customSheetViews>
    <customSheetView guid="{F9B480CE-077C-416E-ACF9-56227F746F4A}">
      <selection activeCell="E29" sqref="E29"/>
      <pageMargins left="0.75" right="0.75" top="1" bottom="1" header="0.5" footer="0.5"/>
      <headerFooter alignWithMargins="0"/>
    </customSheetView>
    <customSheetView guid="{3DF5E802-5CA5-43EF-BE6A-D6FCDA5F65F2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29" sqref="B29"/>
    </sheetView>
  </sheetViews>
  <sheetFormatPr defaultRowHeight="12.75"/>
  <cols>
    <col min="1" max="1" width="8.28515625" style="24" bestFit="1" customWidth="1"/>
    <col min="2" max="2" width="23.42578125" style="24" bestFit="1" customWidth="1"/>
    <col min="3" max="16384" width="9.140625" style="24"/>
  </cols>
  <sheetData>
    <row r="1" spans="1:2">
      <c r="B1" s="29"/>
    </row>
    <row r="3" spans="1:2">
      <c r="A3" s="25" t="s">
        <v>53</v>
      </c>
      <c r="B3" s="25" t="s">
        <v>113</v>
      </c>
    </row>
    <row r="4" spans="1:2">
      <c r="A4" s="26" t="s">
        <v>54</v>
      </c>
      <c r="B4" s="68">
        <f ca="1">IF(RAND()&lt;0.1,"nb",RAND()*5.7+0.51)</f>
        <v>6.1802629599389123</v>
      </c>
    </row>
    <row r="5" spans="1:2">
      <c r="A5" s="26" t="s">
        <v>55</v>
      </c>
      <c r="B5" s="68">
        <f t="shared" ref="B5:B27" ca="1" si="0">IF(RAND()&lt;0.1,"nb",RAND()*5.7+0.51)</f>
        <v>2.8743035500568599</v>
      </c>
    </row>
    <row r="6" spans="1:2">
      <c r="A6" s="26" t="s">
        <v>56</v>
      </c>
      <c r="B6" s="68">
        <f t="shared" ca="1" si="0"/>
        <v>4.400768492891566</v>
      </c>
    </row>
    <row r="7" spans="1:2">
      <c r="A7" s="26" t="s">
        <v>57</v>
      </c>
      <c r="B7" s="68">
        <f t="shared" ca="1" si="0"/>
        <v>4.6607049699340282</v>
      </c>
    </row>
    <row r="8" spans="1:2">
      <c r="A8" s="26" t="s">
        <v>58</v>
      </c>
      <c r="B8" s="68">
        <f t="shared" ca="1" si="0"/>
        <v>4.3977667714056468</v>
      </c>
    </row>
    <row r="9" spans="1:2">
      <c r="A9" s="26" t="s">
        <v>59</v>
      </c>
      <c r="B9" s="68">
        <f t="shared" ca="1" si="0"/>
        <v>3.5820102764617889</v>
      </c>
    </row>
    <row r="10" spans="1:2">
      <c r="A10" s="26" t="s">
        <v>60</v>
      </c>
      <c r="B10" s="68">
        <f t="shared" ca="1" si="0"/>
        <v>4.7104738932711392</v>
      </c>
    </row>
    <row r="11" spans="1:2">
      <c r="A11" s="26" t="s">
        <v>61</v>
      </c>
      <c r="B11" s="68">
        <f t="shared" ca="1" si="0"/>
        <v>4.8729150349761836</v>
      </c>
    </row>
    <row r="12" spans="1:2">
      <c r="A12" s="26" t="s">
        <v>62</v>
      </c>
      <c r="B12" s="68" t="str">
        <f t="shared" ca="1" si="0"/>
        <v>nb</v>
      </c>
    </row>
    <row r="13" spans="1:2">
      <c r="A13" s="26" t="s">
        <v>63</v>
      </c>
      <c r="B13" s="68">
        <f t="shared" ca="1" si="0"/>
        <v>3.0190381458092395</v>
      </c>
    </row>
    <row r="14" spans="1:2">
      <c r="A14" s="26" t="s">
        <v>64</v>
      </c>
      <c r="B14" s="68">
        <f t="shared" ca="1" si="0"/>
        <v>1.5497683644659033</v>
      </c>
    </row>
    <row r="15" spans="1:2">
      <c r="A15" s="26" t="s">
        <v>97</v>
      </c>
      <c r="B15" s="68">
        <f t="shared" ca="1" si="0"/>
        <v>0.94056264816917645</v>
      </c>
    </row>
    <row r="16" spans="1:2">
      <c r="A16" s="26" t="s">
        <v>98</v>
      </c>
      <c r="B16" s="68" t="str">
        <f t="shared" ca="1" si="0"/>
        <v>nb</v>
      </c>
    </row>
    <row r="17" spans="1:2">
      <c r="A17" s="26" t="s">
        <v>99</v>
      </c>
      <c r="B17" s="68">
        <f t="shared" ca="1" si="0"/>
        <v>1.94764637396485</v>
      </c>
    </row>
    <row r="18" spans="1:2">
      <c r="A18" s="26" t="s">
        <v>100</v>
      </c>
      <c r="B18" s="68">
        <f t="shared" ca="1" si="0"/>
        <v>2.2719589479986171</v>
      </c>
    </row>
    <row r="19" spans="1:2">
      <c r="A19" s="26" t="s">
        <v>101</v>
      </c>
      <c r="B19" s="68">
        <f t="shared" ca="1" si="0"/>
        <v>4.4256822677580292</v>
      </c>
    </row>
    <row r="20" spans="1:2">
      <c r="A20" s="26" t="s">
        <v>102</v>
      </c>
      <c r="B20" s="68">
        <f t="shared" ca="1" si="0"/>
        <v>3.0717431932692163</v>
      </c>
    </row>
    <row r="21" spans="1:2">
      <c r="A21" s="26" t="s">
        <v>103</v>
      </c>
      <c r="B21" s="68">
        <f t="shared" ca="1" si="0"/>
        <v>4.5904045322614895</v>
      </c>
    </row>
    <row r="22" spans="1:2">
      <c r="A22" s="26" t="s">
        <v>104</v>
      </c>
      <c r="B22" s="68">
        <f t="shared" ca="1" si="0"/>
        <v>5.8704742322258214</v>
      </c>
    </row>
    <row r="23" spans="1:2">
      <c r="A23" s="26" t="s">
        <v>105</v>
      </c>
      <c r="B23" s="68">
        <f t="shared" ca="1" si="0"/>
        <v>3.049827273461637</v>
      </c>
    </row>
    <row r="24" spans="1:2">
      <c r="A24" s="26" t="s">
        <v>106</v>
      </c>
      <c r="B24" s="68">
        <f t="shared" ca="1" si="0"/>
        <v>5.3176826778125346</v>
      </c>
    </row>
    <row r="25" spans="1:2">
      <c r="A25" s="26" t="s">
        <v>107</v>
      </c>
      <c r="B25" s="68">
        <f t="shared" ca="1" si="0"/>
        <v>1.3823546968195255</v>
      </c>
    </row>
    <row r="26" spans="1:2">
      <c r="A26" s="26" t="s">
        <v>108</v>
      </c>
      <c r="B26" s="68">
        <f t="shared" ca="1" si="0"/>
        <v>1.4652238297436391</v>
      </c>
    </row>
    <row r="27" spans="1:2">
      <c r="A27" s="26" t="s">
        <v>109</v>
      </c>
      <c r="B27" s="68">
        <f t="shared" ca="1" si="0"/>
        <v>2.2309891526253214</v>
      </c>
    </row>
    <row r="28" spans="1:2" ht="13.5" thickBot="1"/>
    <row r="29" spans="1:2" ht="13.5" thickBot="1">
      <c r="A29" s="24" t="s">
        <v>9</v>
      </c>
      <c r="B29" s="138">
        <f ca="1">ROUND(AVERAGE(B4:B27),1)</f>
        <v>3.5</v>
      </c>
    </row>
  </sheetData>
  <customSheetViews>
    <customSheetView guid="{F9B480CE-077C-416E-ACF9-56227F746F4A}">
      <selection activeCell="E33" sqref="E33"/>
      <pageMargins left="0.75" right="0.75" top="1" bottom="1" header="0.5" footer="0.5"/>
      <headerFooter alignWithMargins="0"/>
    </customSheetView>
    <customSheetView guid="{3DF5E802-5CA5-43EF-BE6A-D6FCDA5F65F2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workbookViewId="0">
      <selection activeCell="C12" sqref="C12:C200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5"/>
      <c r="B1" s="7" t="s">
        <v>10</v>
      </c>
    </row>
    <row r="2" spans="1:3" ht="18">
      <c r="A2" s="5"/>
      <c r="B2" s="8">
        <f ca="1">ROUND(RAND()*0.2+0.1,2)</f>
        <v>0.26</v>
      </c>
    </row>
    <row r="3" spans="1:3">
      <c r="A3" s="5"/>
      <c r="B3" s="6"/>
    </row>
    <row r="4" spans="1:3">
      <c r="A4" s="5"/>
      <c r="B4" s="6"/>
    </row>
    <row r="5" spans="1:3">
      <c r="A5" s="5"/>
      <c r="B5" s="6"/>
    </row>
    <row r="9" spans="1:3" ht="13.5" thickBot="1">
      <c r="A9" s="88" t="s">
        <v>274</v>
      </c>
      <c r="B9" s="88" t="s">
        <v>275</v>
      </c>
      <c r="C9" s="125" t="s">
        <v>276</v>
      </c>
    </row>
    <row r="10" spans="1:3">
      <c r="A10" s="3">
        <v>1023652135</v>
      </c>
      <c r="B10" s="9">
        <f ca="1">ROUND(RAND()*400+20,0)</f>
        <v>237</v>
      </c>
      <c r="C10" s="139">
        <f ca="1">B10 / B2</f>
        <v>911.53846153846155</v>
      </c>
    </row>
    <row r="11" spans="1:3">
      <c r="A11" s="3">
        <f>A10+13</f>
        <v>1023652148</v>
      </c>
      <c r="B11" s="9">
        <f t="shared" ref="B11:B74" ca="1" si="0">ROUND(RAND()*400+20,0)</f>
        <v>290</v>
      </c>
      <c r="C11" s="140">
        <f ca="1">B11/B2</f>
        <v>1115.3846153846152</v>
      </c>
    </row>
    <row r="12" spans="1:3">
      <c r="A12" s="3">
        <v>1023652136</v>
      </c>
      <c r="B12" s="9">
        <f t="shared" ca="1" si="0"/>
        <v>116</v>
      </c>
      <c r="C12" s="140">
        <f ca="1">B12/$B$2</f>
        <v>446.15384615384613</v>
      </c>
    </row>
    <row r="13" spans="1:3">
      <c r="A13" s="3">
        <f>A12+13</f>
        <v>1023652149</v>
      </c>
      <c r="B13" s="9">
        <f t="shared" ca="1" si="0"/>
        <v>230</v>
      </c>
      <c r="C13" s="140">
        <f t="shared" ref="C13:C76" ca="1" si="1">B13/$B$2</f>
        <v>884.61538461538464</v>
      </c>
    </row>
    <row r="14" spans="1:3">
      <c r="A14" s="3">
        <v>1023652137</v>
      </c>
      <c r="B14" s="9">
        <f t="shared" ca="1" si="0"/>
        <v>93</v>
      </c>
      <c r="C14" s="140">
        <f t="shared" ca="1" si="1"/>
        <v>357.69230769230768</v>
      </c>
    </row>
    <row r="15" spans="1:3">
      <c r="A15" s="3">
        <f>A14+13</f>
        <v>1023652150</v>
      </c>
      <c r="B15" s="9">
        <f t="shared" ca="1" si="0"/>
        <v>259</v>
      </c>
      <c r="C15" s="140">
        <f t="shared" ca="1" si="1"/>
        <v>996.15384615384608</v>
      </c>
    </row>
    <row r="16" spans="1:3">
      <c r="A16" s="3">
        <v>1023652138</v>
      </c>
      <c r="B16" s="9">
        <f t="shared" ca="1" si="0"/>
        <v>129</v>
      </c>
      <c r="C16" s="140">
        <f t="shared" ca="1" si="1"/>
        <v>496.15384615384613</v>
      </c>
    </row>
    <row r="17" spans="1:3">
      <c r="A17" s="3">
        <f>A16+13</f>
        <v>1023652151</v>
      </c>
      <c r="B17" s="9">
        <f t="shared" ca="1" si="0"/>
        <v>323</v>
      </c>
      <c r="C17" s="140">
        <f t="shared" ca="1" si="1"/>
        <v>1242.3076923076924</v>
      </c>
    </row>
    <row r="18" spans="1:3">
      <c r="A18" s="3">
        <v>1023652139</v>
      </c>
      <c r="B18" s="9">
        <f t="shared" ca="1" si="0"/>
        <v>301</v>
      </c>
      <c r="C18" s="140">
        <f t="shared" ca="1" si="1"/>
        <v>1157.6923076923076</v>
      </c>
    </row>
    <row r="19" spans="1:3">
      <c r="A19" s="3">
        <f>A18+13</f>
        <v>1023652152</v>
      </c>
      <c r="B19" s="9">
        <f t="shared" ca="1" si="0"/>
        <v>189</v>
      </c>
      <c r="C19" s="140">
        <f t="shared" ca="1" si="1"/>
        <v>726.92307692307691</v>
      </c>
    </row>
    <row r="20" spans="1:3">
      <c r="A20" s="3">
        <v>1023652140</v>
      </c>
      <c r="B20" s="9">
        <f t="shared" ca="1" si="0"/>
        <v>225</v>
      </c>
      <c r="C20" s="140">
        <f t="shared" ca="1" si="1"/>
        <v>865.38461538461536</v>
      </c>
    </row>
    <row r="21" spans="1:3">
      <c r="A21" s="3">
        <f>A20+13</f>
        <v>1023652153</v>
      </c>
      <c r="B21" s="9">
        <f t="shared" ca="1" si="0"/>
        <v>31</v>
      </c>
      <c r="C21" s="140">
        <f t="shared" ca="1" si="1"/>
        <v>119.23076923076923</v>
      </c>
    </row>
    <row r="22" spans="1:3">
      <c r="A22" s="3">
        <v>1023652141</v>
      </c>
      <c r="B22" s="9">
        <f t="shared" ca="1" si="0"/>
        <v>276</v>
      </c>
      <c r="C22" s="140">
        <f t="shared" ca="1" si="1"/>
        <v>1061.5384615384614</v>
      </c>
    </row>
    <row r="23" spans="1:3">
      <c r="A23" s="3">
        <f>A22+13</f>
        <v>1023652154</v>
      </c>
      <c r="B23" s="9">
        <f t="shared" ca="1" si="0"/>
        <v>155</v>
      </c>
      <c r="C23" s="140">
        <f t="shared" ca="1" si="1"/>
        <v>596.15384615384619</v>
      </c>
    </row>
    <row r="24" spans="1:3">
      <c r="A24" s="3">
        <v>1023652142</v>
      </c>
      <c r="B24" s="9">
        <f t="shared" ca="1" si="0"/>
        <v>336</v>
      </c>
      <c r="C24" s="140">
        <f t="shared" ca="1" si="1"/>
        <v>1292.3076923076922</v>
      </c>
    </row>
    <row r="25" spans="1:3">
      <c r="A25" s="3">
        <f>A24+13</f>
        <v>1023652155</v>
      </c>
      <c r="B25" s="9">
        <f t="shared" ca="1" si="0"/>
        <v>63</v>
      </c>
      <c r="C25" s="140">
        <f t="shared" ca="1" si="1"/>
        <v>242.30769230769229</v>
      </c>
    </row>
    <row r="26" spans="1:3">
      <c r="A26" s="3">
        <v>1023652143</v>
      </c>
      <c r="B26" s="9">
        <f t="shared" ca="1" si="0"/>
        <v>118</v>
      </c>
      <c r="C26" s="140">
        <f t="shared" ca="1" si="1"/>
        <v>453.84615384615381</v>
      </c>
    </row>
    <row r="27" spans="1:3">
      <c r="A27" s="3">
        <f>A26+13</f>
        <v>1023652156</v>
      </c>
      <c r="B27" s="9">
        <f t="shared" ca="1" si="0"/>
        <v>405</v>
      </c>
      <c r="C27" s="140">
        <f t="shared" ca="1" si="1"/>
        <v>1557.6923076923076</v>
      </c>
    </row>
    <row r="28" spans="1:3">
      <c r="A28" s="3">
        <v>1023652144</v>
      </c>
      <c r="B28" s="9">
        <f t="shared" ca="1" si="0"/>
        <v>139</v>
      </c>
      <c r="C28" s="140">
        <f t="shared" ca="1" si="1"/>
        <v>534.61538461538464</v>
      </c>
    </row>
    <row r="29" spans="1:3">
      <c r="A29" s="3">
        <f>A28+13</f>
        <v>1023652157</v>
      </c>
      <c r="B29" s="9">
        <f t="shared" ca="1" si="0"/>
        <v>233</v>
      </c>
      <c r="C29" s="140">
        <f t="shared" ca="1" si="1"/>
        <v>896.15384615384608</v>
      </c>
    </row>
    <row r="30" spans="1:3">
      <c r="A30" s="3">
        <v>1023652145</v>
      </c>
      <c r="B30" s="9">
        <f t="shared" ca="1" si="0"/>
        <v>190</v>
      </c>
      <c r="C30" s="140">
        <f t="shared" ca="1" si="1"/>
        <v>730.76923076923072</v>
      </c>
    </row>
    <row r="31" spans="1:3">
      <c r="A31" s="3">
        <f>A30+13</f>
        <v>1023652158</v>
      </c>
      <c r="B31" s="9">
        <f t="shared" ca="1" si="0"/>
        <v>25</v>
      </c>
      <c r="C31" s="140">
        <f t="shared" ca="1" si="1"/>
        <v>96.153846153846146</v>
      </c>
    </row>
    <row r="32" spans="1:3">
      <c r="A32" s="3">
        <v>1023652146</v>
      </c>
      <c r="B32" s="9">
        <f t="shared" ca="1" si="0"/>
        <v>179</v>
      </c>
      <c r="C32" s="140">
        <f t="shared" ca="1" si="1"/>
        <v>688.46153846153845</v>
      </c>
    </row>
    <row r="33" spans="1:3">
      <c r="A33" s="3">
        <f>A32+13</f>
        <v>1023652159</v>
      </c>
      <c r="B33" s="9">
        <f t="shared" ca="1" si="0"/>
        <v>373</v>
      </c>
      <c r="C33" s="140">
        <f t="shared" ca="1" si="1"/>
        <v>1434.6153846153845</v>
      </c>
    </row>
    <row r="34" spans="1:3">
      <c r="A34" s="3">
        <v>1023652147</v>
      </c>
      <c r="B34" s="9">
        <f t="shared" ca="1" si="0"/>
        <v>391</v>
      </c>
      <c r="C34" s="140">
        <f t="shared" ca="1" si="1"/>
        <v>1503.8461538461538</v>
      </c>
    </row>
    <row r="35" spans="1:3">
      <c r="A35" s="3">
        <f>A34+13</f>
        <v>1023652160</v>
      </c>
      <c r="B35" s="9">
        <f t="shared" ca="1" si="0"/>
        <v>130</v>
      </c>
      <c r="C35" s="140">
        <f t="shared" ca="1" si="1"/>
        <v>500</v>
      </c>
    </row>
    <row r="36" spans="1:3">
      <c r="A36" s="3">
        <v>1023652148</v>
      </c>
      <c r="B36" s="9">
        <f t="shared" ca="1" si="0"/>
        <v>300</v>
      </c>
      <c r="C36" s="140">
        <f t="shared" ca="1" si="1"/>
        <v>1153.8461538461538</v>
      </c>
    </row>
    <row r="37" spans="1:3">
      <c r="A37" s="3">
        <f>A36+13</f>
        <v>1023652161</v>
      </c>
      <c r="B37" s="9">
        <f t="shared" ca="1" si="0"/>
        <v>328</v>
      </c>
      <c r="C37" s="140">
        <f t="shared" ca="1" si="1"/>
        <v>1261.5384615384614</v>
      </c>
    </row>
    <row r="38" spans="1:3">
      <c r="A38" s="3">
        <v>1023652149</v>
      </c>
      <c r="B38" s="9">
        <f t="shared" ca="1" si="0"/>
        <v>256</v>
      </c>
      <c r="C38" s="140">
        <f t="shared" ca="1" si="1"/>
        <v>984.61538461538453</v>
      </c>
    </row>
    <row r="39" spans="1:3">
      <c r="A39" s="3">
        <f>A38+13</f>
        <v>1023652162</v>
      </c>
      <c r="B39" s="9">
        <f t="shared" ca="1" si="0"/>
        <v>300</v>
      </c>
      <c r="C39" s="140">
        <f t="shared" ca="1" si="1"/>
        <v>1153.8461538461538</v>
      </c>
    </row>
    <row r="40" spans="1:3">
      <c r="A40" s="3">
        <v>1023652150</v>
      </c>
      <c r="B40" s="9">
        <f t="shared" ca="1" si="0"/>
        <v>64</v>
      </c>
      <c r="C40" s="140">
        <f t="shared" ca="1" si="1"/>
        <v>246.15384615384613</v>
      </c>
    </row>
    <row r="41" spans="1:3">
      <c r="A41" s="3">
        <f>A40+13</f>
        <v>1023652163</v>
      </c>
      <c r="B41" s="9">
        <f t="shared" ca="1" si="0"/>
        <v>164</v>
      </c>
      <c r="C41" s="140">
        <f t="shared" ca="1" si="1"/>
        <v>630.76923076923072</v>
      </c>
    </row>
    <row r="42" spans="1:3">
      <c r="A42" s="3">
        <v>1023652151</v>
      </c>
      <c r="B42" s="9">
        <f t="shared" ca="1" si="0"/>
        <v>95</v>
      </c>
      <c r="C42" s="140">
        <f t="shared" ca="1" si="1"/>
        <v>365.38461538461536</v>
      </c>
    </row>
    <row r="43" spans="1:3">
      <c r="A43" s="3">
        <f>A42+13</f>
        <v>1023652164</v>
      </c>
      <c r="B43" s="9">
        <f t="shared" ca="1" si="0"/>
        <v>143</v>
      </c>
      <c r="C43" s="140">
        <f t="shared" ca="1" si="1"/>
        <v>550</v>
      </c>
    </row>
    <row r="44" spans="1:3">
      <c r="A44" s="3">
        <v>1023652152</v>
      </c>
      <c r="B44" s="9">
        <f t="shared" ca="1" si="0"/>
        <v>224</v>
      </c>
      <c r="C44" s="140">
        <f t="shared" ca="1" si="1"/>
        <v>861.53846153846155</v>
      </c>
    </row>
    <row r="45" spans="1:3">
      <c r="A45" s="3">
        <f>A44+13</f>
        <v>1023652165</v>
      </c>
      <c r="B45" s="9">
        <f t="shared" ca="1" si="0"/>
        <v>217</v>
      </c>
      <c r="C45" s="140">
        <f t="shared" ca="1" si="1"/>
        <v>834.61538461538464</v>
      </c>
    </row>
    <row r="46" spans="1:3">
      <c r="A46" s="3">
        <v>1023652153</v>
      </c>
      <c r="B46" s="9">
        <f t="shared" ca="1" si="0"/>
        <v>108</v>
      </c>
      <c r="C46" s="140">
        <f t="shared" ca="1" si="1"/>
        <v>415.38461538461536</v>
      </c>
    </row>
    <row r="47" spans="1:3">
      <c r="A47" s="3">
        <f>A46+13</f>
        <v>1023652166</v>
      </c>
      <c r="B47" s="9">
        <f t="shared" ca="1" si="0"/>
        <v>210</v>
      </c>
      <c r="C47" s="140">
        <f t="shared" ca="1" si="1"/>
        <v>807.69230769230762</v>
      </c>
    </row>
    <row r="48" spans="1:3">
      <c r="A48" s="3">
        <v>1023652154</v>
      </c>
      <c r="B48" s="9">
        <f t="shared" ca="1" si="0"/>
        <v>56</v>
      </c>
      <c r="C48" s="140">
        <f t="shared" ca="1" si="1"/>
        <v>215.38461538461539</v>
      </c>
    </row>
    <row r="49" spans="1:3">
      <c r="A49" s="3">
        <f>A48+13</f>
        <v>1023652167</v>
      </c>
      <c r="B49" s="9">
        <f t="shared" ca="1" si="0"/>
        <v>274</v>
      </c>
      <c r="C49" s="140">
        <f t="shared" ca="1" si="1"/>
        <v>1053.8461538461538</v>
      </c>
    </row>
    <row r="50" spans="1:3">
      <c r="A50" s="3">
        <v>1023652155</v>
      </c>
      <c r="B50" s="9">
        <f t="shared" ca="1" si="0"/>
        <v>339</v>
      </c>
      <c r="C50" s="140">
        <f t="shared" ca="1" si="1"/>
        <v>1303.8461538461538</v>
      </c>
    </row>
    <row r="51" spans="1:3">
      <c r="A51" s="3">
        <f>A50+13</f>
        <v>1023652168</v>
      </c>
      <c r="B51" s="9">
        <f t="shared" ca="1" si="0"/>
        <v>367</v>
      </c>
      <c r="C51" s="140">
        <f t="shared" ca="1" si="1"/>
        <v>1411.5384615384614</v>
      </c>
    </row>
    <row r="52" spans="1:3">
      <c r="A52" s="3">
        <v>1023652156</v>
      </c>
      <c r="B52" s="9">
        <f t="shared" ca="1" si="0"/>
        <v>243</v>
      </c>
      <c r="C52" s="140">
        <f t="shared" ca="1" si="1"/>
        <v>934.61538461538453</v>
      </c>
    </row>
    <row r="53" spans="1:3">
      <c r="A53" s="3">
        <f>A52+13</f>
        <v>1023652169</v>
      </c>
      <c r="B53" s="9">
        <f t="shared" ca="1" si="0"/>
        <v>396</v>
      </c>
      <c r="C53" s="140">
        <f t="shared" ca="1" si="1"/>
        <v>1523.0769230769231</v>
      </c>
    </row>
    <row r="54" spans="1:3">
      <c r="A54" s="3">
        <v>1023652157</v>
      </c>
      <c r="B54" s="9">
        <f t="shared" ca="1" si="0"/>
        <v>188</v>
      </c>
      <c r="C54" s="140">
        <f t="shared" ca="1" si="1"/>
        <v>723.07692307692309</v>
      </c>
    </row>
    <row r="55" spans="1:3">
      <c r="A55" s="3">
        <f>A54+13</f>
        <v>1023652170</v>
      </c>
      <c r="B55" s="9">
        <f t="shared" ca="1" si="0"/>
        <v>92</v>
      </c>
      <c r="C55" s="140">
        <f t="shared" ca="1" si="1"/>
        <v>353.84615384615381</v>
      </c>
    </row>
    <row r="56" spans="1:3">
      <c r="A56" s="3">
        <v>1023652158</v>
      </c>
      <c r="B56" s="9">
        <f t="shared" ca="1" si="0"/>
        <v>318</v>
      </c>
      <c r="C56" s="140">
        <f t="shared" ca="1" si="1"/>
        <v>1223.0769230769231</v>
      </c>
    </row>
    <row r="57" spans="1:3">
      <c r="A57" s="3">
        <f>A56+13</f>
        <v>1023652171</v>
      </c>
      <c r="B57" s="9">
        <f t="shared" ca="1" si="0"/>
        <v>292</v>
      </c>
      <c r="C57" s="140">
        <f t="shared" ca="1" si="1"/>
        <v>1123.0769230769231</v>
      </c>
    </row>
    <row r="58" spans="1:3">
      <c r="A58" s="3">
        <v>1023652159</v>
      </c>
      <c r="B58" s="9">
        <f t="shared" ca="1" si="0"/>
        <v>227</v>
      </c>
      <c r="C58" s="140">
        <f t="shared" ca="1" si="1"/>
        <v>873.07692307692309</v>
      </c>
    </row>
    <row r="59" spans="1:3">
      <c r="A59" s="3">
        <f>A58+13</f>
        <v>1023652172</v>
      </c>
      <c r="B59" s="9">
        <f t="shared" ca="1" si="0"/>
        <v>199</v>
      </c>
      <c r="C59" s="140">
        <f t="shared" ca="1" si="1"/>
        <v>765.38461538461536</v>
      </c>
    </row>
    <row r="60" spans="1:3">
      <c r="A60" s="3">
        <v>1023652160</v>
      </c>
      <c r="B60" s="9">
        <f t="shared" ca="1" si="0"/>
        <v>261</v>
      </c>
      <c r="C60" s="140">
        <f t="shared" ca="1" si="1"/>
        <v>1003.8461538461538</v>
      </c>
    </row>
    <row r="61" spans="1:3">
      <c r="A61" s="3">
        <f>A60+13</f>
        <v>1023652173</v>
      </c>
      <c r="B61" s="9">
        <f t="shared" ca="1" si="0"/>
        <v>363</v>
      </c>
      <c r="C61" s="140">
        <f t="shared" ca="1" si="1"/>
        <v>1396.1538461538462</v>
      </c>
    </row>
    <row r="62" spans="1:3">
      <c r="A62" s="3">
        <v>1023652161</v>
      </c>
      <c r="B62" s="9">
        <f t="shared" ca="1" si="0"/>
        <v>166</v>
      </c>
      <c r="C62" s="140">
        <f t="shared" ca="1" si="1"/>
        <v>638.46153846153845</v>
      </c>
    </row>
    <row r="63" spans="1:3">
      <c r="A63" s="3">
        <f>A62+13</f>
        <v>1023652174</v>
      </c>
      <c r="B63" s="9">
        <f t="shared" ca="1" si="0"/>
        <v>207</v>
      </c>
      <c r="C63" s="140">
        <f t="shared" ca="1" si="1"/>
        <v>796.15384615384608</v>
      </c>
    </row>
    <row r="64" spans="1:3">
      <c r="A64" s="3">
        <v>1023652162</v>
      </c>
      <c r="B64" s="9">
        <f t="shared" ca="1" si="0"/>
        <v>126</v>
      </c>
      <c r="C64" s="140">
        <f t="shared" ca="1" si="1"/>
        <v>484.61538461538458</v>
      </c>
    </row>
    <row r="65" spans="1:3">
      <c r="A65" s="3">
        <f>A64+13</f>
        <v>1023652175</v>
      </c>
      <c r="B65" s="9">
        <f t="shared" ca="1" si="0"/>
        <v>197</v>
      </c>
      <c r="C65" s="140">
        <f t="shared" ca="1" si="1"/>
        <v>757.69230769230762</v>
      </c>
    </row>
    <row r="66" spans="1:3">
      <c r="A66" s="3">
        <v>1023652163</v>
      </c>
      <c r="B66" s="9">
        <f t="shared" ca="1" si="0"/>
        <v>281</v>
      </c>
      <c r="C66" s="140">
        <f t="shared" ca="1" si="1"/>
        <v>1080.7692307692307</v>
      </c>
    </row>
    <row r="67" spans="1:3">
      <c r="A67" s="3">
        <f>A66+13</f>
        <v>1023652176</v>
      </c>
      <c r="B67" s="9">
        <f t="shared" ca="1" si="0"/>
        <v>195</v>
      </c>
      <c r="C67" s="140">
        <f t="shared" ca="1" si="1"/>
        <v>750</v>
      </c>
    </row>
    <row r="68" spans="1:3">
      <c r="A68" s="3">
        <v>1023652164</v>
      </c>
      <c r="B68" s="9">
        <f t="shared" ca="1" si="0"/>
        <v>315</v>
      </c>
      <c r="C68" s="140">
        <f t="shared" ca="1" si="1"/>
        <v>1211.5384615384614</v>
      </c>
    </row>
    <row r="69" spans="1:3">
      <c r="A69" s="3">
        <f>A68+13</f>
        <v>1023652177</v>
      </c>
      <c r="B69" s="9">
        <f t="shared" ca="1" si="0"/>
        <v>252</v>
      </c>
      <c r="C69" s="140">
        <f t="shared" ca="1" si="1"/>
        <v>969.23076923076917</v>
      </c>
    </row>
    <row r="70" spans="1:3">
      <c r="A70" s="3">
        <v>1023652165</v>
      </c>
      <c r="B70" s="9">
        <f t="shared" ca="1" si="0"/>
        <v>326</v>
      </c>
      <c r="C70" s="140">
        <f t="shared" ca="1" si="1"/>
        <v>1253.8461538461538</v>
      </c>
    </row>
    <row r="71" spans="1:3">
      <c r="A71" s="3">
        <f>A70+13</f>
        <v>1023652178</v>
      </c>
      <c r="B71" s="9">
        <f t="shared" ca="1" si="0"/>
        <v>49</v>
      </c>
      <c r="C71" s="140">
        <f t="shared" ca="1" si="1"/>
        <v>188.46153846153845</v>
      </c>
    </row>
    <row r="72" spans="1:3">
      <c r="A72" s="3">
        <v>1023652166</v>
      </c>
      <c r="B72" s="9">
        <f t="shared" ca="1" si="0"/>
        <v>224</v>
      </c>
      <c r="C72" s="140">
        <f t="shared" ca="1" si="1"/>
        <v>861.53846153846155</v>
      </c>
    </row>
    <row r="73" spans="1:3">
      <c r="A73" s="3">
        <f>A72+13</f>
        <v>1023652179</v>
      </c>
      <c r="B73" s="9">
        <f t="shared" ca="1" si="0"/>
        <v>418</v>
      </c>
      <c r="C73" s="140">
        <f t="shared" ca="1" si="1"/>
        <v>1607.6923076923076</v>
      </c>
    </row>
    <row r="74" spans="1:3">
      <c r="A74" s="3">
        <v>1023652167</v>
      </c>
      <c r="B74" s="9">
        <f t="shared" ca="1" si="0"/>
        <v>30</v>
      </c>
      <c r="C74" s="140">
        <f t="shared" ca="1" si="1"/>
        <v>115.38461538461539</v>
      </c>
    </row>
    <row r="75" spans="1:3">
      <c r="A75" s="3">
        <f>A74+13</f>
        <v>1023652180</v>
      </c>
      <c r="B75" s="9">
        <f t="shared" ref="B75:B138" ca="1" si="2">ROUND(RAND()*400+20,0)</f>
        <v>33</v>
      </c>
      <c r="C75" s="140">
        <f t="shared" ca="1" si="1"/>
        <v>126.92307692307692</v>
      </c>
    </row>
    <row r="76" spans="1:3">
      <c r="A76" s="3">
        <v>1023652168</v>
      </c>
      <c r="B76" s="9">
        <f t="shared" ca="1" si="2"/>
        <v>120</v>
      </c>
      <c r="C76" s="140">
        <f t="shared" ca="1" si="1"/>
        <v>461.53846153846155</v>
      </c>
    </row>
    <row r="77" spans="1:3">
      <c r="A77" s="3">
        <f>A76+13</f>
        <v>1023652181</v>
      </c>
      <c r="B77" s="9">
        <f t="shared" ca="1" si="2"/>
        <v>241</v>
      </c>
      <c r="C77" s="140">
        <f t="shared" ref="C77:C140" ca="1" si="3">B77/$B$2</f>
        <v>926.92307692307691</v>
      </c>
    </row>
    <row r="78" spans="1:3">
      <c r="A78" s="3">
        <v>1023652169</v>
      </c>
      <c r="B78" s="9">
        <f t="shared" ca="1" si="2"/>
        <v>297</v>
      </c>
      <c r="C78" s="140">
        <f t="shared" ca="1" si="3"/>
        <v>1142.3076923076924</v>
      </c>
    </row>
    <row r="79" spans="1:3">
      <c r="A79" s="3">
        <f>A78+13</f>
        <v>1023652182</v>
      </c>
      <c r="B79" s="9">
        <f t="shared" ca="1" si="2"/>
        <v>253</v>
      </c>
      <c r="C79" s="140">
        <f t="shared" ca="1" si="3"/>
        <v>973.07692307692309</v>
      </c>
    </row>
    <row r="80" spans="1:3">
      <c r="A80" s="3">
        <v>1023652170</v>
      </c>
      <c r="B80" s="9">
        <f t="shared" ca="1" si="2"/>
        <v>126</v>
      </c>
      <c r="C80" s="140">
        <f t="shared" ca="1" si="3"/>
        <v>484.61538461538458</v>
      </c>
    </row>
    <row r="81" spans="1:3">
      <c r="A81" s="3">
        <f>A80+13</f>
        <v>1023652183</v>
      </c>
      <c r="B81" s="9">
        <f t="shared" ca="1" si="2"/>
        <v>161</v>
      </c>
      <c r="C81" s="140">
        <f t="shared" ca="1" si="3"/>
        <v>619.23076923076917</v>
      </c>
    </row>
    <row r="82" spans="1:3">
      <c r="A82" s="3">
        <v>1023652171</v>
      </c>
      <c r="B82" s="9">
        <f t="shared" ca="1" si="2"/>
        <v>384</v>
      </c>
      <c r="C82" s="140">
        <f t="shared" ca="1" si="3"/>
        <v>1476.9230769230769</v>
      </c>
    </row>
    <row r="83" spans="1:3">
      <c r="A83" s="3">
        <f>A82+13</f>
        <v>1023652184</v>
      </c>
      <c r="B83" s="9">
        <f t="shared" ca="1" si="2"/>
        <v>43</v>
      </c>
      <c r="C83" s="140">
        <f t="shared" ca="1" si="3"/>
        <v>165.38461538461539</v>
      </c>
    </row>
    <row r="84" spans="1:3">
      <c r="A84" s="3">
        <v>1023652172</v>
      </c>
      <c r="B84" s="9">
        <f t="shared" ca="1" si="2"/>
        <v>309</v>
      </c>
      <c r="C84" s="140">
        <f t="shared" ca="1" si="3"/>
        <v>1188.4615384615383</v>
      </c>
    </row>
    <row r="85" spans="1:3">
      <c r="A85" s="3">
        <f>A84+13</f>
        <v>1023652185</v>
      </c>
      <c r="B85" s="9">
        <f t="shared" ca="1" si="2"/>
        <v>137</v>
      </c>
      <c r="C85" s="140">
        <f t="shared" ca="1" si="3"/>
        <v>526.92307692307691</v>
      </c>
    </row>
    <row r="86" spans="1:3">
      <c r="A86" s="3">
        <v>1023652173</v>
      </c>
      <c r="B86" s="9">
        <f t="shared" ca="1" si="2"/>
        <v>54</v>
      </c>
      <c r="C86" s="140">
        <f t="shared" ca="1" si="3"/>
        <v>207.69230769230768</v>
      </c>
    </row>
    <row r="87" spans="1:3">
      <c r="A87" s="3">
        <f>A86+13</f>
        <v>1023652186</v>
      </c>
      <c r="B87" s="9">
        <f t="shared" ca="1" si="2"/>
        <v>143</v>
      </c>
      <c r="C87" s="140">
        <f t="shared" ca="1" si="3"/>
        <v>550</v>
      </c>
    </row>
    <row r="88" spans="1:3">
      <c r="A88" s="3">
        <v>1023652174</v>
      </c>
      <c r="B88" s="9">
        <f t="shared" ca="1" si="2"/>
        <v>277</v>
      </c>
      <c r="C88" s="140">
        <f t="shared" ca="1" si="3"/>
        <v>1065.3846153846152</v>
      </c>
    </row>
    <row r="89" spans="1:3">
      <c r="A89" s="3">
        <f>A88+13</f>
        <v>1023652187</v>
      </c>
      <c r="B89" s="9">
        <f t="shared" ca="1" si="2"/>
        <v>379</v>
      </c>
      <c r="C89" s="140">
        <f t="shared" ca="1" si="3"/>
        <v>1457.6923076923076</v>
      </c>
    </row>
    <row r="90" spans="1:3">
      <c r="A90" s="3">
        <v>1023652175</v>
      </c>
      <c r="B90" s="9">
        <f t="shared" ca="1" si="2"/>
        <v>91</v>
      </c>
      <c r="C90" s="140">
        <f t="shared" ca="1" si="3"/>
        <v>350</v>
      </c>
    </row>
    <row r="91" spans="1:3">
      <c r="A91" s="3">
        <f>A90+13</f>
        <v>1023652188</v>
      </c>
      <c r="B91" s="9">
        <f t="shared" ca="1" si="2"/>
        <v>310</v>
      </c>
      <c r="C91" s="140">
        <f t="shared" ca="1" si="3"/>
        <v>1192.3076923076924</v>
      </c>
    </row>
    <row r="92" spans="1:3">
      <c r="A92" s="3">
        <v>1023652176</v>
      </c>
      <c r="B92" s="9">
        <f t="shared" ca="1" si="2"/>
        <v>151</v>
      </c>
      <c r="C92" s="140">
        <f t="shared" ca="1" si="3"/>
        <v>580.76923076923072</v>
      </c>
    </row>
    <row r="93" spans="1:3">
      <c r="A93" s="3">
        <f>A92+13</f>
        <v>1023652189</v>
      </c>
      <c r="B93" s="9">
        <f t="shared" ca="1" si="2"/>
        <v>386</v>
      </c>
      <c r="C93" s="140">
        <f t="shared" ca="1" si="3"/>
        <v>1484.6153846153845</v>
      </c>
    </row>
    <row r="94" spans="1:3">
      <c r="A94" s="3">
        <v>1023652177</v>
      </c>
      <c r="B94" s="9">
        <f t="shared" ca="1" si="2"/>
        <v>356</v>
      </c>
      <c r="C94" s="140">
        <f t="shared" ca="1" si="3"/>
        <v>1369.2307692307693</v>
      </c>
    </row>
    <row r="95" spans="1:3">
      <c r="A95" s="3">
        <f>A94+13</f>
        <v>1023652190</v>
      </c>
      <c r="B95" s="9">
        <f t="shared" ca="1" si="2"/>
        <v>28</v>
      </c>
      <c r="C95" s="140">
        <f t="shared" ca="1" si="3"/>
        <v>107.69230769230769</v>
      </c>
    </row>
    <row r="96" spans="1:3">
      <c r="A96" s="3">
        <v>1023652178</v>
      </c>
      <c r="B96" s="9">
        <f t="shared" ca="1" si="2"/>
        <v>401</v>
      </c>
      <c r="C96" s="140">
        <f t="shared" ca="1" si="3"/>
        <v>1542.3076923076922</v>
      </c>
    </row>
    <row r="97" spans="1:3">
      <c r="A97" s="3">
        <f>A96+13</f>
        <v>1023652191</v>
      </c>
      <c r="B97" s="9">
        <f t="shared" ca="1" si="2"/>
        <v>208</v>
      </c>
      <c r="C97" s="140">
        <f t="shared" ca="1" si="3"/>
        <v>800</v>
      </c>
    </row>
    <row r="98" spans="1:3">
      <c r="A98" s="3">
        <v>1023652179</v>
      </c>
      <c r="B98" s="9">
        <f t="shared" ca="1" si="2"/>
        <v>155</v>
      </c>
      <c r="C98" s="140">
        <f t="shared" ca="1" si="3"/>
        <v>596.15384615384619</v>
      </c>
    </row>
    <row r="99" spans="1:3">
      <c r="A99" s="3">
        <f>A98+13</f>
        <v>1023652192</v>
      </c>
      <c r="B99" s="9">
        <f t="shared" ca="1" si="2"/>
        <v>379</v>
      </c>
      <c r="C99" s="140">
        <f t="shared" ca="1" si="3"/>
        <v>1457.6923076923076</v>
      </c>
    </row>
    <row r="100" spans="1:3">
      <c r="A100" s="3">
        <v>1023652180</v>
      </c>
      <c r="B100" s="9">
        <f t="shared" ca="1" si="2"/>
        <v>58</v>
      </c>
      <c r="C100" s="140">
        <f t="shared" ca="1" si="3"/>
        <v>223.07692307692307</v>
      </c>
    </row>
    <row r="101" spans="1:3">
      <c r="A101" s="3">
        <f>A100+13</f>
        <v>1023652193</v>
      </c>
      <c r="B101" s="9">
        <f t="shared" ca="1" si="2"/>
        <v>140</v>
      </c>
      <c r="C101" s="140">
        <f t="shared" ca="1" si="3"/>
        <v>538.46153846153845</v>
      </c>
    </row>
    <row r="102" spans="1:3">
      <c r="A102" s="3">
        <v>1023652181</v>
      </c>
      <c r="B102" s="9">
        <f t="shared" ca="1" si="2"/>
        <v>117</v>
      </c>
      <c r="C102" s="140">
        <f t="shared" ca="1" si="3"/>
        <v>450</v>
      </c>
    </row>
    <row r="103" spans="1:3">
      <c r="A103" s="3">
        <f>A102+13</f>
        <v>1023652194</v>
      </c>
      <c r="B103" s="9">
        <f t="shared" ca="1" si="2"/>
        <v>125</v>
      </c>
      <c r="C103" s="140">
        <f t="shared" ca="1" si="3"/>
        <v>480.76923076923077</v>
      </c>
    </row>
    <row r="104" spans="1:3">
      <c r="A104" s="3">
        <v>1023652182</v>
      </c>
      <c r="B104" s="9">
        <f t="shared" ca="1" si="2"/>
        <v>260</v>
      </c>
      <c r="C104" s="140">
        <f t="shared" ca="1" si="3"/>
        <v>1000</v>
      </c>
    </row>
    <row r="105" spans="1:3">
      <c r="A105" s="3">
        <f>A104+13</f>
        <v>1023652195</v>
      </c>
      <c r="B105" s="9">
        <f t="shared" ca="1" si="2"/>
        <v>357</v>
      </c>
      <c r="C105" s="140">
        <f t="shared" ca="1" si="3"/>
        <v>1373.0769230769231</v>
      </c>
    </row>
    <row r="106" spans="1:3">
      <c r="A106" s="3">
        <v>1023652183</v>
      </c>
      <c r="B106" s="9">
        <f t="shared" ca="1" si="2"/>
        <v>258</v>
      </c>
      <c r="C106" s="140">
        <f t="shared" ca="1" si="3"/>
        <v>992.30769230769226</v>
      </c>
    </row>
    <row r="107" spans="1:3">
      <c r="A107" s="3">
        <f>A106+13</f>
        <v>1023652196</v>
      </c>
      <c r="B107" s="9">
        <f t="shared" ca="1" si="2"/>
        <v>131</v>
      </c>
      <c r="C107" s="140">
        <f t="shared" ca="1" si="3"/>
        <v>503.84615384615381</v>
      </c>
    </row>
    <row r="108" spans="1:3">
      <c r="A108" s="3">
        <v>1023652184</v>
      </c>
      <c r="B108" s="9">
        <f t="shared" ca="1" si="2"/>
        <v>190</v>
      </c>
      <c r="C108" s="140">
        <f t="shared" ca="1" si="3"/>
        <v>730.76923076923072</v>
      </c>
    </row>
    <row r="109" spans="1:3">
      <c r="A109" s="3">
        <f>A108+13</f>
        <v>1023652197</v>
      </c>
      <c r="B109" s="9">
        <f t="shared" ca="1" si="2"/>
        <v>125</v>
      </c>
      <c r="C109" s="140">
        <f t="shared" ca="1" si="3"/>
        <v>480.76923076923077</v>
      </c>
    </row>
    <row r="110" spans="1:3">
      <c r="A110" s="3">
        <v>1023652185</v>
      </c>
      <c r="B110" s="9">
        <f t="shared" ca="1" si="2"/>
        <v>40</v>
      </c>
      <c r="C110" s="140">
        <f t="shared" ca="1" si="3"/>
        <v>153.84615384615384</v>
      </c>
    </row>
    <row r="111" spans="1:3">
      <c r="A111" s="3">
        <f>A110+13</f>
        <v>1023652198</v>
      </c>
      <c r="B111" s="9">
        <f t="shared" ca="1" si="2"/>
        <v>108</v>
      </c>
      <c r="C111" s="140">
        <f t="shared" ca="1" si="3"/>
        <v>415.38461538461536</v>
      </c>
    </row>
    <row r="112" spans="1:3">
      <c r="A112" s="3">
        <v>1023652186</v>
      </c>
      <c r="B112" s="9">
        <f t="shared" ca="1" si="2"/>
        <v>98</v>
      </c>
      <c r="C112" s="140">
        <f t="shared" ca="1" si="3"/>
        <v>376.92307692307691</v>
      </c>
    </row>
    <row r="113" spans="1:3">
      <c r="A113" s="3">
        <f>A112+13</f>
        <v>1023652199</v>
      </c>
      <c r="B113" s="9">
        <f t="shared" ca="1" si="2"/>
        <v>164</v>
      </c>
      <c r="C113" s="140">
        <f t="shared" ca="1" si="3"/>
        <v>630.76923076923072</v>
      </c>
    </row>
    <row r="114" spans="1:3">
      <c r="A114" s="3">
        <v>1023652187</v>
      </c>
      <c r="B114" s="9">
        <f t="shared" ca="1" si="2"/>
        <v>104</v>
      </c>
      <c r="C114" s="140">
        <f t="shared" ca="1" si="3"/>
        <v>400</v>
      </c>
    </row>
    <row r="115" spans="1:3">
      <c r="A115" s="3">
        <f>A114+13</f>
        <v>1023652200</v>
      </c>
      <c r="B115" s="9">
        <f t="shared" ca="1" si="2"/>
        <v>418</v>
      </c>
      <c r="C115" s="140">
        <f t="shared" ca="1" si="3"/>
        <v>1607.6923076923076</v>
      </c>
    </row>
    <row r="116" spans="1:3">
      <c r="A116" s="3">
        <v>1023652188</v>
      </c>
      <c r="B116" s="9">
        <f t="shared" ca="1" si="2"/>
        <v>161</v>
      </c>
      <c r="C116" s="140">
        <f t="shared" ca="1" si="3"/>
        <v>619.23076923076917</v>
      </c>
    </row>
    <row r="117" spans="1:3">
      <c r="A117" s="3">
        <f>A116+13</f>
        <v>1023652201</v>
      </c>
      <c r="B117" s="9">
        <f t="shared" ca="1" si="2"/>
        <v>260</v>
      </c>
      <c r="C117" s="140">
        <f t="shared" ca="1" si="3"/>
        <v>1000</v>
      </c>
    </row>
    <row r="118" spans="1:3">
      <c r="A118" s="3">
        <v>1023652189</v>
      </c>
      <c r="B118" s="9">
        <f t="shared" ca="1" si="2"/>
        <v>90</v>
      </c>
      <c r="C118" s="140">
        <f t="shared" ca="1" si="3"/>
        <v>346.15384615384613</v>
      </c>
    </row>
    <row r="119" spans="1:3">
      <c r="A119" s="3">
        <f>A118+13</f>
        <v>1023652202</v>
      </c>
      <c r="B119" s="9">
        <f t="shared" ca="1" si="2"/>
        <v>354</v>
      </c>
      <c r="C119" s="140">
        <f t="shared" ca="1" si="3"/>
        <v>1361.5384615384614</v>
      </c>
    </row>
    <row r="120" spans="1:3">
      <c r="A120" s="3">
        <v>1023652190</v>
      </c>
      <c r="B120" s="9">
        <f t="shared" ca="1" si="2"/>
        <v>239</v>
      </c>
      <c r="C120" s="140">
        <f t="shared" ca="1" si="3"/>
        <v>919.23076923076917</v>
      </c>
    </row>
    <row r="121" spans="1:3">
      <c r="A121" s="3">
        <f>A120+13</f>
        <v>1023652203</v>
      </c>
      <c r="B121" s="9">
        <f t="shared" ca="1" si="2"/>
        <v>347</v>
      </c>
      <c r="C121" s="140">
        <f t="shared" ca="1" si="3"/>
        <v>1334.6153846153845</v>
      </c>
    </row>
    <row r="122" spans="1:3">
      <c r="A122" s="3">
        <v>1023652191</v>
      </c>
      <c r="B122" s="9">
        <f t="shared" ca="1" si="2"/>
        <v>130</v>
      </c>
      <c r="C122" s="140">
        <f t="shared" ca="1" si="3"/>
        <v>500</v>
      </c>
    </row>
    <row r="123" spans="1:3">
      <c r="A123" s="3">
        <f>A122+13</f>
        <v>1023652204</v>
      </c>
      <c r="B123" s="9">
        <f t="shared" ca="1" si="2"/>
        <v>373</v>
      </c>
      <c r="C123" s="140">
        <f t="shared" ca="1" si="3"/>
        <v>1434.6153846153845</v>
      </c>
    </row>
    <row r="124" spans="1:3">
      <c r="A124" s="3">
        <v>1023652192</v>
      </c>
      <c r="B124" s="9">
        <f t="shared" ca="1" si="2"/>
        <v>66</v>
      </c>
      <c r="C124" s="140">
        <f t="shared" ca="1" si="3"/>
        <v>253.84615384615384</v>
      </c>
    </row>
    <row r="125" spans="1:3">
      <c r="A125" s="3">
        <f>A124+13</f>
        <v>1023652205</v>
      </c>
      <c r="B125" s="9">
        <f t="shared" ca="1" si="2"/>
        <v>153</v>
      </c>
      <c r="C125" s="140">
        <f t="shared" ca="1" si="3"/>
        <v>588.46153846153845</v>
      </c>
    </row>
    <row r="126" spans="1:3">
      <c r="A126" s="3">
        <v>1023652193</v>
      </c>
      <c r="B126" s="9">
        <f t="shared" ca="1" si="2"/>
        <v>106</v>
      </c>
      <c r="C126" s="140">
        <f t="shared" ca="1" si="3"/>
        <v>407.69230769230768</v>
      </c>
    </row>
    <row r="127" spans="1:3">
      <c r="A127" s="3">
        <f>A126+13</f>
        <v>1023652206</v>
      </c>
      <c r="B127" s="9">
        <f t="shared" ca="1" si="2"/>
        <v>343</v>
      </c>
      <c r="C127" s="140">
        <f t="shared" ca="1" si="3"/>
        <v>1319.2307692307693</v>
      </c>
    </row>
    <row r="128" spans="1:3">
      <c r="A128" s="3">
        <v>1023652194</v>
      </c>
      <c r="B128" s="9">
        <f t="shared" ca="1" si="2"/>
        <v>57</v>
      </c>
      <c r="C128" s="140">
        <f t="shared" ca="1" si="3"/>
        <v>219.23076923076923</v>
      </c>
    </row>
    <row r="129" spans="1:3">
      <c r="A129" s="3">
        <f>A128+13</f>
        <v>1023652207</v>
      </c>
      <c r="B129" s="9">
        <f t="shared" ca="1" si="2"/>
        <v>131</v>
      </c>
      <c r="C129" s="140">
        <f t="shared" ca="1" si="3"/>
        <v>503.84615384615381</v>
      </c>
    </row>
    <row r="130" spans="1:3">
      <c r="A130" s="3">
        <v>1023652195</v>
      </c>
      <c r="B130" s="9">
        <f t="shared" ca="1" si="2"/>
        <v>342</v>
      </c>
      <c r="C130" s="140">
        <f t="shared" ca="1" si="3"/>
        <v>1315.3846153846152</v>
      </c>
    </row>
    <row r="131" spans="1:3">
      <c r="A131" s="3">
        <f>A130+13</f>
        <v>1023652208</v>
      </c>
      <c r="B131" s="9">
        <f t="shared" ca="1" si="2"/>
        <v>233</v>
      </c>
      <c r="C131" s="140">
        <f t="shared" ca="1" si="3"/>
        <v>896.15384615384608</v>
      </c>
    </row>
    <row r="132" spans="1:3">
      <c r="A132" s="3">
        <v>1023652196</v>
      </c>
      <c r="B132" s="9">
        <f t="shared" ca="1" si="2"/>
        <v>211</v>
      </c>
      <c r="C132" s="140">
        <f t="shared" ca="1" si="3"/>
        <v>811.53846153846155</v>
      </c>
    </row>
    <row r="133" spans="1:3">
      <c r="A133" s="3">
        <f>A132+13</f>
        <v>1023652209</v>
      </c>
      <c r="B133" s="9">
        <f t="shared" ca="1" si="2"/>
        <v>303</v>
      </c>
      <c r="C133" s="140">
        <f t="shared" ca="1" si="3"/>
        <v>1165.3846153846152</v>
      </c>
    </row>
    <row r="134" spans="1:3">
      <c r="A134" s="3">
        <v>1023652197</v>
      </c>
      <c r="B134" s="9">
        <f t="shared" ca="1" si="2"/>
        <v>71</v>
      </c>
      <c r="C134" s="140">
        <f t="shared" ca="1" si="3"/>
        <v>273.07692307692309</v>
      </c>
    </row>
    <row r="135" spans="1:3">
      <c r="A135" s="3">
        <f>A134+13</f>
        <v>1023652210</v>
      </c>
      <c r="B135" s="9">
        <f t="shared" ca="1" si="2"/>
        <v>104</v>
      </c>
      <c r="C135" s="140">
        <f t="shared" ca="1" si="3"/>
        <v>400</v>
      </c>
    </row>
    <row r="136" spans="1:3">
      <c r="A136" s="3">
        <v>1023652198</v>
      </c>
      <c r="B136" s="9">
        <f t="shared" ca="1" si="2"/>
        <v>384</v>
      </c>
      <c r="C136" s="140">
        <f t="shared" ca="1" si="3"/>
        <v>1476.9230769230769</v>
      </c>
    </row>
    <row r="137" spans="1:3">
      <c r="A137" s="3">
        <f>A136+13</f>
        <v>1023652211</v>
      </c>
      <c r="B137" s="9">
        <f t="shared" ca="1" si="2"/>
        <v>63</v>
      </c>
      <c r="C137" s="140">
        <f t="shared" ca="1" si="3"/>
        <v>242.30769230769229</v>
      </c>
    </row>
    <row r="138" spans="1:3">
      <c r="A138" s="3">
        <v>1023652199</v>
      </c>
      <c r="B138" s="9">
        <f t="shared" ca="1" si="2"/>
        <v>270</v>
      </c>
      <c r="C138" s="140">
        <f t="shared" ca="1" si="3"/>
        <v>1038.4615384615383</v>
      </c>
    </row>
    <row r="139" spans="1:3">
      <c r="A139" s="3">
        <f>A138+13</f>
        <v>1023652212</v>
      </c>
      <c r="B139" s="9">
        <f t="shared" ref="B139:B200" ca="1" si="4">ROUND(RAND()*400+20,0)</f>
        <v>152</v>
      </c>
      <c r="C139" s="140">
        <f t="shared" ca="1" si="3"/>
        <v>584.61538461538464</v>
      </c>
    </row>
    <row r="140" spans="1:3">
      <c r="A140" s="3">
        <v>1023652200</v>
      </c>
      <c r="B140" s="9">
        <f t="shared" ca="1" si="4"/>
        <v>382</v>
      </c>
      <c r="C140" s="140">
        <f t="shared" ca="1" si="3"/>
        <v>1469.2307692307693</v>
      </c>
    </row>
    <row r="141" spans="1:3">
      <c r="A141" s="3">
        <f>A140+13</f>
        <v>1023652213</v>
      </c>
      <c r="B141" s="9">
        <f t="shared" ca="1" si="4"/>
        <v>27</v>
      </c>
      <c r="C141" s="140">
        <f t="shared" ref="C141:C200" ca="1" si="5">B141/$B$2</f>
        <v>103.84615384615384</v>
      </c>
    </row>
    <row r="142" spans="1:3">
      <c r="A142" s="3">
        <v>1023652201</v>
      </c>
      <c r="B142" s="9">
        <f t="shared" ca="1" si="4"/>
        <v>109</v>
      </c>
      <c r="C142" s="140">
        <f t="shared" ca="1" si="5"/>
        <v>419.23076923076923</v>
      </c>
    </row>
    <row r="143" spans="1:3">
      <c r="A143" s="3">
        <f>A142+13</f>
        <v>1023652214</v>
      </c>
      <c r="B143" s="9">
        <f t="shared" ca="1" si="4"/>
        <v>256</v>
      </c>
      <c r="C143" s="140">
        <f t="shared" ca="1" si="5"/>
        <v>984.61538461538453</v>
      </c>
    </row>
    <row r="144" spans="1:3">
      <c r="A144" s="3">
        <v>1023652202</v>
      </c>
      <c r="B144" s="9">
        <f t="shared" ca="1" si="4"/>
        <v>139</v>
      </c>
      <c r="C144" s="140">
        <f t="shared" ca="1" si="5"/>
        <v>534.61538461538464</v>
      </c>
    </row>
    <row r="145" spans="1:3">
      <c r="A145" s="3">
        <f>A144+13</f>
        <v>1023652215</v>
      </c>
      <c r="B145" s="9">
        <f t="shared" ca="1" si="4"/>
        <v>258</v>
      </c>
      <c r="C145" s="140">
        <f t="shared" ca="1" si="5"/>
        <v>992.30769230769226</v>
      </c>
    </row>
    <row r="146" spans="1:3">
      <c r="A146" s="3">
        <v>1023652203</v>
      </c>
      <c r="B146" s="9">
        <f t="shared" ca="1" si="4"/>
        <v>145</v>
      </c>
      <c r="C146" s="140">
        <f t="shared" ca="1" si="5"/>
        <v>557.69230769230762</v>
      </c>
    </row>
    <row r="147" spans="1:3">
      <c r="A147" s="3">
        <f>A146+13</f>
        <v>1023652216</v>
      </c>
      <c r="B147" s="9">
        <f t="shared" ca="1" si="4"/>
        <v>393</v>
      </c>
      <c r="C147" s="140">
        <f t="shared" ca="1" si="5"/>
        <v>1511.5384615384614</v>
      </c>
    </row>
    <row r="148" spans="1:3">
      <c r="A148" s="3">
        <v>1023652204</v>
      </c>
      <c r="B148" s="9">
        <f t="shared" ca="1" si="4"/>
        <v>179</v>
      </c>
      <c r="C148" s="140">
        <f t="shared" ca="1" si="5"/>
        <v>688.46153846153845</v>
      </c>
    </row>
    <row r="149" spans="1:3">
      <c r="A149" s="3">
        <f>A148+13</f>
        <v>1023652217</v>
      </c>
      <c r="B149" s="9">
        <f t="shared" ca="1" si="4"/>
        <v>50</v>
      </c>
      <c r="C149" s="140">
        <f t="shared" ca="1" si="5"/>
        <v>192.30769230769229</v>
      </c>
    </row>
    <row r="150" spans="1:3">
      <c r="A150" s="3">
        <v>1023652205</v>
      </c>
      <c r="B150" s="9">
        <f t="shared" ca="1" si="4"/>
        <v>128</v>
      </c>
      <c r="C150" s="140">
        <f t="shared" ca="1" si="5"/>
        <v>492.30769230769226</v>
      </c>
    </row>
    <row r="151" spans="1:3">
      <c r="A151" s="3">
        <f>A150+13</f>
        <v>1023652218</v>
      </c>
      <c r="B151" s="9">
        <f t="shared" ca="1" si="4"/>
        <v>231</v>
      </c>
      <c r="C151" s="140">
        <f t="shared" ca="1" si="5"/>
        <v>888.46153846153845</v>
      </c>
    </row>
    <row r="152" spans="1:3">
      <c r="A152" s="3">
        <v>1023652206</v>
      </c>
      <c r="B152" s="9">
        <f t="shared" ca="1" si="4"/>
        <v>62</v>
      </c>
      <c r="C152" s="140">
        <f t="shared" ca="1" si="5"/>
        <v>238.46153846153845</v>
      </c>
    </row>
    <row r="153" spans="1:3">
      <c r="A153" s="3">
        <f>A152+13</f>
        <v>1023652219</v>
      </c>
      <c r="B153" s="9">
        <f t="shared" ca="1" si="4"/>
        <v>69</v>
      </c>
      <c r="C153" s="140">
        <f t="shared" ca="1" si="5"/>
        <v>265.38461538461536</v>
      </c>
    </row>
    <row r="154" spans="1:3">
      <c r="A154" s="3">
        <v>1023652207</v>
      </c>
      <c r="B154" s="9">
        <f t="shared" ca="1" si="4"/>
        <v>98</v>
      </c>
      <c r="C154" s="140">
        <f t="shared" ca="1" si="5"/>
        <v>376.92307692307691</v>
      </c>
    </row>
    <row r="155" spans="1:3">
      <c r="A155" s="3">
        <f>A154+13</f>
        <v>1023652220</v>
      </c>
      <c r="B155" s="9">
        <f t="shared" ca="1" si="4"/>
        <v>194</v>
      </c>
      <c r="C155" s="140">
        <f t="shared" ca="1" si="5"/>
        <v>746.15384615384608</v>
      </c>
    </row>
    <row r="156" spans="1:3">
      <c r="A156" s="3">
        <v>1023652208</v>
      </c>
      <c r="B156" s="9">
        <f t="shared" ca="1" si="4"/>
        <v>184</v>
      </c>
      <c r="C156" s="140">
        <f t="shared" ca="1" si="5"/>
        <v>707.69230769230762</v>
      </c>
    </row>
    <row r="157" spans="1:3">
      <c r="A157" s="3">
        <f>A156+13</f>
        <v>1023652221</v>
      </c>
      <c r="B157" s="9">
        <f t="shared" ca="1" si="4"/>
        <v>155</v>
      </c>
      <c r="C157" s="140">
        <f t="shared" ca="1" si="5"/>
        <v>596.15384615384619</v>
      </c>
    </row>
    <row r="158" spans="1:3">
      <c r="A158" s="3">
        <v>1023652209</v>
      </c>
      <c r="B158" s="9">
        <f t="shared" ca="1" si="4"/>
        <v>281</v>
      </c>
      <c r="C158" s="140">
        <f t="shared" ca="1" si="5"/>
        <v>1080.7692307692307</v>
      </c>
    </row>
    <row r="159" spans="1:3">
      <c r="A159" s="3">
        <f>A158+13</f>
        <v>1023652222</v>
      </c>
      <c r="B159" s="9">
        <f t="shared" ca="1" si="4"/>
        <v>196</v>
      </c>
      <c r="C159" s="140">
        <f t="shared" ca="1" si="5"/>
        <v>753.84615384615381</v>
      </c>
    </row>
    <row r="160" spans="1:3">
      <c r="A160" s="3">
        <v>1023652210</v>
      </c>
      <c r="B160" s="9">
        <f t="shared" ca="1" si="4"/>
        <v>142</v>
      </c>
      <c r="C160" s="140">
        <f t="shared" ca="1" si="5"/>
        <v>546.15384615384619</v>
      </c>
    </row>
    <row r="161" spans="1:3">
      <c r="A161" s="3">
        <f>A160+13</f>
        <v>1023652223</v>
      </c>
      <c r="B161" s="9">
        <f t="shared" ca="1" si="4"/>
        <v>84</v>
      </c>
      <c r="C161" s="140">
        <f t="shared" ca="1" si="5"/>
        <v>323.07692307692304</v>
      </c>
    </row>
    <row r="162" spans="1:3">
      <c r="A162" s="3">
        <v>1023652211</v>
      </c>
      <c r="B162" s="9">
        <f t="shared" ca="1" si="4"/>
        <v>340</v>
      </c>
      <c r="C162" s="140">
        <f t="shared" ca="1" si="5"/>
        <v>1307.6923076923076</v>
      </c>
    </row>
    <row r="163" spans="1:3">
      <c r="A163" s="3">
        <f>A162+13</f>
        <v>1023652224</v>
      </c>
      <c r="B163" s="9">
        <f t="shared" ca="1" si="4"/>
        <v>91</v>
      </c>
      <c r="C163" s="140">
        <f t="shared" ca="1" si="5"/>
        <v>350</v>
      </c>
    </row>
    <row r="164" spans="1:3">
      <c r="A164" s="3">
        <v>1023652212</v>
      </c>
      <c r="B164" s="9">
        <f t="shared" ca="1" si="4"/>
        <v>351</v>
      </c>
      <c r="C164" s="140">
        <f t="shared" ca="1" si="5"/>
        <v>1350</v>
      </c>
    </row>
    <row r="165" spans="1:3">
      <c r="A165" s="3">
        <f>A164+13</f>
        <v>1023652225</v>
      </c>
      <c r="B165" s="9">
        <f t="shared" ca="1" si="4"/>
        <v>70</v>
      </c>
      <c r="C165" s="140">
        <f t="shared" ca="1" si="5"/>
        <v>269.23076923076923</v>
      </c>
    </row>
    <row r="166" spans="1:3">
      <c r="A166" s="3">
        <v>1023652213</v>
      </c>
      <c r="B166" s="9">
        <f t="shared" ca="1" si="4"/>
        <v>296</v>
      </c>
      <c r="C166" s="140">
        <f t="shared" ca="1" si="5"/>
        <v>1138.4615384615383</v>
      </c>
    </row>
    <row r="167" spans="1:3">
      <c r="A167" s="3">
        <f>A166+13</f>
        <v>1023652226</v>
      </c>
      <c r="B167" s="9">
        <f t="shared" ca="1" si="4"/>
        <v>52</v>
      </c>
      <c r="C167" s="140">
        <f t="shared" ca="1" si="5"/>
        <v>200</v>
      </c>
    </row>
    <row r="168" spans="1:3">
      <c r="A168" s="3">
        <v>1023652214</v>
      </c>
      <c r="B168" s="9">
        <f t="shared" ca="1" si="4"/>
        <v>257</v>
      </c>
      <c r="C168" s="140">
        <f t="shared" ca="1" si="5"/>
        <v>988.46153846153845</v>
      </c>
    </row>
    <row r="169" spans="1:3">
      <c r="A169" s="3">
        <f>A168+13</f>
        <v>1023652227</v>
      </c>
      <c r="B169" s="9">
        <f t="shared" ca="1" si="4"/>
        <v>228</v>
      </c>
      <c r="C169" s="140">
        <f t="shared" ca="1" si="5"/>
        <v>876.92307692307691</v>
      </c>
    </row>
    <row r="170" spans="1:3">
      <c r="A170" s="3">
        <v>1023652215</v>
      </c>
      <c r="B170" s="9">
        <f t="shared" ca="1" si="4"/>
        <v>43</v>
      </c>
      <c r="C170" s="140">
        <f t="shared" ca="1" si="5"/>
        <v>165.38461538461539</v>
      </c>
    </row>
    <row r="171" spans="1:3">
      <c r="A171" s="3">
        <f>A170+13</f>
        <v>1023652228</v>
      </c>
      <c r="B171" s="9">
        <f t="shared" ca="1" si="4"/>
        <v>74</v>
      </c>
      <c r="C171" s="140">
        <f t="shared" ca="1" si="5"/>
        <v>284.61538461538458</v>
      </c>
    </row>
    <row r="172" spans="1:3">
      <c r="A172" s="3">
        <v>1023652216</v>
      </c>
      <c r="B172" s="9">
        <f t="shared" ca="1" si="4"/>
        <v>190</v>
      </c>
      <c r="C172" s="140">
        <f t="shared" ca="1" si="5"/>
        <v>730.76923076923072</v>
      </c>
    </row>
    <row r="173" spans="1:3">
      <c r="A173" s="3">
        <f>A172+13</f>
        <v>1023652229</v>
      </c>
      <c r="B173" s="9">
        <f t="shared" ca="1" si="4"/>
        <v>275</v>
      </c>
      <c r="C173" s="140">
        <f t="shared" ca="1" si="5"/>
        <v>1057.6923076923076</v>
      </c>
    </row>
    <row r="174" spans="1:3">
      <c r="A174" s="3">
        <v>1023652217</v>
      </c>
      <c r="B174" s="9">
        <f t="shared" ca="1" si="4"/>
        <v>329</v>
      </c>
      <c r="C174" s="140">
        <f t="shared" ca="1" si="5"/>
        <v>1265.3846153846152</v>
      </c>
    </row>
    <row r="175" spans="1:3">
      <c r="A175" s="3">
        <f>A174+13</f>
        <v>1023652230</v>
      </c>
      <c r="B175" s="9">
        <f t="shared" ca="1" si="4"/>
        <v>136</v>
      </c>
      <c r="C175" s="140">
        <f t="shared" ca="1" si="5"/>
        <v>523.07692307692309</v>
      </c>
    </row>
    <row r="176" spans="1:3">
      <c r="A176" s="3">
        <v>1023652218</v>
      </c>
      <c r="B176" s="9">
        <f t="shared" ca="1" si="4"/>
        <v>92</v>
      </c>
      <c r="C176" s="140">
        <f t="shared" ca="1" si="5"/>
        <v>353.84615384615381</v>
      </c>
    </row>
    <row r="177" spans="1:3">
      <c r="A177" s="3">
        <f>A176+13</f>
        <v>1023652231</v>
      </c>
      <c r="B177" s="9">
        <f t="shared" ca="1" si="4"/>
        <v>147</v>
      </c>
      <c r="C177" s="140">
        <f t="shared" ca="1" si="5"/>
        <v>565.38461538461536</v>
      </c>
    </row>
    <row r="178" spans="1:3">
      <c r="A178" s="3">
        <v>1023652219</v>
      </c>
      <c r="B178" s="9">
        <f t="shared" ca="1" si="4"/>
        <v>309</v>
      </c>
      <c r="C178" s="140">
        <f t="shared" ca="1" si="5"/>
        <v>1188.4615384615383</v>
      </c>
    </row>
    <row r="179" spans="1:3">
      <c r="A179" s="3">
        <f>A178+13</f>
        <v>1023652232</v>
      </c>
      <c r="B179" s="9">
        <f t="shared" ca="1" si="4"/>
        <v>297</v>
      </c>
      <c r="C179" s="140">
        <f t="shared" ca="1" si="5"/>
        <v>1142.3076923076924</v>
      </c>
    </row>
    <row r="180" spans="1:3">
      <c r="A180" s="3">
        <v>1023652220</v>
      </c>
      <c r="B180" s="9">
        <f t="shared" ca="1" si="4"/>
        <v>177</v>
      </c>
      <c r="C180" s="140">
        <f t="shared" ca="1" si="5"/>
        <v>680.76923076923072</v>
      </c>
    </row>
    <row r="181" spans="1:3">
      <c r="A181" s="3">
        <f>A180+13</f>
        <v>1023652233</v>
      </c>
      <c r="B181" s="9">
        <f t="shared" ca="1" si="4"/>
        <v>320</v>
      </c>
      <c r="C181" s="140">
        <f t="shared" ca="1" si="5"/>
        <v>1230.7692307692307</v>
      </c>
    </row>
    <row r="182" spans="1:3">
      <c r="A182" s="3">
        <v>1023652221</v>
      </c>
      <c r="B182" s="9">
        <f t="shared" ca="1" si="4"/>
        <v>302</v>
      </c>
      <c r="C182" s="140">
        <f t="shared" ca="1" si="5"/>
        <v>1161.5384615384614</v>
      </c>
    </row>
    <row r="183" spans="1:3">
      <c r="A183" s="3">
        <f>A182+13</f>
        <v>1023652234</v>
      </c>
      <c r="B183" s="9">
        <f t="shared" ca="1" si="4"/>
        <v>370</v>
      </c>
      <c r="C183" s="140">
        <f t="shared" ca="1" si="5"/>
        <v>1423.0769230769231</v>
      </c>
    </row>
    <row r="184" spans="1:3">
      <c r="A184" s="3">
        <v>1023652222</v>
      </c>
      <c r="B184" s="9">
        <f t="shared" ca="1" si="4"/>
        <v>213</v>
      </c>
      <c r="C184" s="140">
        <f t="shared" ca="1" si="5"/>
        <v>819.23076923076917</v>
      </c>
    </row>
    <row r="185" spans="1:3">
      <c r="A185" s="3">
        <f>A184+13</f>
        <v>1023652235</v>
      </c>
      <c r="B185" s="9">
        <f t="shared" ca="1" si="4"/>
        <v>251</v>
      </c>
      <c r="C185" s="140">
        <f t="shared" ca="1" si="5"/>
        <v>965.38461538461536</v>
      </c>
    </row>
    <row r="186" spans="1:3">
      <c r="A186" s="3">
        <v>1023652223</v>
      </c>
      <c r="B186" s="9">
        <f t="shared" ca="1" si="4"/>
        <v>26</v>
      </c>
      <c r="C186" s="140">
        <f t="shared" ca="1" si="5"/>
        <v>100</v>
      </c>
    </row>
    <row r="187" spans="1:3">
      <c r="A187" s="3">
        <f>A186+13</f>
        <v>1023652236</v>
      </c>
      <c r="B187" s="9">
        <f t="shared" ca="1" si="4"/>
        <v>155</v>
      </c>
      <c r="C187" s="140">
        <f t="shared" ca="1" si="5"/>
        <v>596.15384615384619</v>
      </c>
    </row>
    <row r="188" spans="1:3">
      <c r="A188" s="3">
        <v>1023652224</v>
      </c>
      <c r="B188" s="9">
        <f t="shared" ca="1" si="4"/>
        <v>90</v>
      </c>
      <c r="C188" s="140">
        <f t="shared" ca="1" si="5"/>
        <v>346.15384615384613</v>
      </c>
    </row>
    <row r="189" spans="1:3">
      <c r="A189" s="3">
        <f>A188+13</f>
        <v>1023652237</v>
      </c>
      <c r="B189" s="9">
        <f t="shared" ca="1" si="4"/>
        <v>159</v>
      </c>
      <c r="C189" s="140">
        <f t="shared" ca="1" si="5"/>
        <v>611.53846153846155</v>
      </c>
    </row>
    <row r="190" spans="1:3">
      <c r="A190" s="3">
        <v>1023652225</v>
      </c>
      <c r="B190" s="9">
        <f t="shared" ca="1" si="4"/>
        <v>297</v>
      </c>
      <c r="C190" s="140">
        <f t="shared" ca="1" si="5"/>
        <v>1142.3076923076924</v>
      </c>
    </row>
    <row r="191" spans="1:3">
      <c r="A191" s="3">
        <f>A190+13</f>
        <v>1023652238</v>
      </c>
      <c r="B191" s="9">
        <f t="shared" ca="1" si="4"/>
        <v>162</v>
      </c>
      <c r="C191" s="140">
        <f t="shared" ca="1" si="5"/>
        <v>623.07692307692309</v>
      </c>
    </row>
    <row r="192" spans="1:3">
      <c r="A192" s="3">
        <v>1023652226</v>
      </c>
      <c r="B192" s="9">
        <f t="shared" ca="1" si="4"/>
        <v>297</v>
      </c>
      <c r="C192" s="140">
        <f t="shared" ca="1" si="5"/>
        <v>1142.3076923076924</v>
      </c>
    </row>
    <row r="193" spans="1:3">
      <c r="A193" s="3">
        <f>A192+13</f>
        <v>1023652239</v>
      </c>
      <c r="B193" s="9">
        <f t="shared" ca="1" si="4"/>
        <v>158</v>
      </c>
      <c r="C193" s="140">
        <f t="shared" ca="1" si="5"/>
        <v>607.69230769230762</v>
      </c>
    </row>
    <row r="194" spans="1:3">
      <c r="A194" s="3">
        <v>1023652227</v>
      </c>
      <c r="B194" s="9">
        <f t="shared" ca="1" si="4"/>
        <v>161</v>
      </c>
      <c r="C194" s="140">
        <f t="shared" ca="1" si="5"/>
        <v>619.23076923076917</v>
      </c>
    </row>
    <row r="195" spans="1:3">
      <c r="A195" s="3">
        <f>A194+13</f>
        <v>1023652240</v>
      </c>
      <c r="B195" s="9">
        <f t="shared" ca="1" si="4"/>
        <v>370</v>
      </c>
      <c r="C195" s="140">
        <f t="shared" ca="1" si="5"/>
        <v>1423.0769230769231</v>
      </c>
    </row>
    <row r="196" spans="1:3">
      <c r="A196" s="3">
        <v>1023652228</v>
      </c>
      <c r="B196" s="9">
        <f t="shared" ca="1" si="4"/>
        <v>382</v>
      </c>
      <c r="C196" s="140">
        <f t="shared" ca="1" si="5"/>
        <v>1469.2307692307693</v>
      </c>
    </row>
    <row r="197" spans="1:3">
      <c r="A197" s="3">
        <f>A196+13</f>
        <v>1023652241</v>
      </c>
      <c r="B197" s="9">
        <f t="shared" ca="1" si="4"/>
        <v>257</v>
      </c>
      <c r="C197" s="140">
        <f t="shared" ca="1" si="5"/>
        <v>988.46153846153845</v>
      </c>
    </row>
    <row r="198" spans="1:3">
      <c r="A198" s="3">
        <v>1023652229</v>
      </c>
      <c r="B198" s="9">
        <f t="shared" ca="1" si="4"/>
        <v>409</v>
      </c>
      <c r="C198" s="140">
        <f t="shared" ca="1" si="5"/>
        <v>1573.0769230769231</v>
      </c>
    </row>
    <row r="199" spans="1:3">
      <c r="A199" s="3">
        <f>A198+13</f>
        <v>1023652242</v>
      </c>
      <c r="B199" s="9">
        <f t="shared" ca="1" si="4"/>
        <v>154</v>
      </c>
      <c r="C199" s="140">
        <f t="shared" ca="1" si="5"/>
        <v>592.30769230769226</v>
      </c>
    </row>
    <row r="200" spans="1:3">
      <c r="A200" s="3">
        <v>1023652230</v>
      </c>
      <c r="B200" s="9">
        <f t="shared" ca="1" si="4"/>
        <v>314</v>
      </c>
      <c r="C200" s="140">
        <f t="shared" ca="1" si="5"/>
        <v>1207.6923076923076</v>
      </c>
    </row>
  </sheetData>
  <customSheetViews>
    <customSheetView guid="{F9B480CE-077C-416E-ACF9-56227F746F4A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topLeftCell="A177" workbookViewId="0">
      <selection activeCell="C10" sqref="C10:C200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27" t="s">
        <v>187</v>
      </c>
      <c r="B1" s="127"/>
    </row>
    <row r="2" spans="1:3" ht="18">
      <c r="A2" s="128">
        <f ca="1">ROUND(RAND()*19+11,0)</f>
        <v>29</v>
      </c>
      <c r="B2" s="128"/>
    </row>
    <row r="3" spans="1:3">
      <c r="A3" s="5"/>
      <c r="B3" s="6"/>
    </row>
    <row r="4" spans="1:3">
      <c r="A4" s="5"/>
      <c r="B4" s="6"/>
    </row>
    <row r="5" spans="1:3">
      <c r="A5" s="5"/>
      <c r="B5" s="6"/>
    </row>
    <row r="9" spans="1:3" ht="13.5" thickBot="1">
      <c r="A9" s="88" t="s">
        <v>189</v>
      </c>
      <c r="B9" s="88" t="s">
        <v>188</v>
      </c>
      <c r="C9" s="4" t="s">
        <v>11</v>
      </c>
    </row>
    <row r="10" spans="1:3" ht="13.5" thickBot="1">
      <c r="A10" s="3">
        <v>1023652135</v>
      </c>
      <c r="B10" s="9">
        <f ca="1">ROUND(RAND()*6,0)</f>
        <v>2</v>
      </c>
      <c r="C10" s="141">
        <f ca="1">B10 * $A$2</f>
        <v>58</v>
      </c>
    </row>
    <row r="11" spans="1:3" ht="13.5" thickBot="1">
      <c r="A11" s="3">
        <f>A10+13</f>
        <v>1023652148</v>
      </c>
      <c r="B11" s="9">
        <f t="shared" ref="B11:B74" ca="1" si="0">ROUND(RAND()*6,0)</f>
        <v>5</v>
      </c>
      <c r="C11" s="141">
        <f t="shared" ref="C11:C74" ca="1" si="1">B11 * $A$2</f>
        <v>145</v>
      </c>
    </row>
    <row r="12" spans="1:3" ht="13.5" thickBot="1">
      <c r="A12" s="3">
        <v>1023652136</v>
      </c>
      <c r="B12" s="9">
        <f t="shared" ca="1" si="0"/>
        <v>5</v>
      </c>
      <c r="C12" s="141">
        <f t="shared" ca="1" si="1"/>
        <v>145</v>
      </c>
    </row>
    <row r="13" spans="1:3" ht="13.5" thickBot="1">
      <c r="A13" s="3">
        <f>A12+13</f>
        <v>1023652149</v>
      </c>
      <c r="B13" s="9">
        <f t="shared" ca="1" si="0"/>
        <v>5</v>
      </c>
      <c r="C13" s="141">
        <f t="shared" ca="1" si="1"/>
        <v>145</v>
      </c>
    </row>
    <row r="14" spans="1:3" ht="13.5" thickBot="1">
      <c r="A14" s="3">
        <v>1023652137</v>
      </c>
      <c r="B14" s="9">
        <f t="shared" ca="1" si="0"/>
        <v>5</v>
      </c>
      <c r="C14" s="141">
        <f t="shared" ca="1" si="1"/>
        <v>145</v>
      </c>
    </row>
    <row r="15" spans="1:3" ht="13.5" thickBot="1">
      <c r="A15" s="3">
        <f>A14+13</f>
        <v>1023652150</v>
      </c>
      <c r="B15" s="9">
        <f t="shared" ca="1" si="0"/>
        <v>1</v>
      </c>
      <c r="C15" s="141">
        <f t="shared" ca="1" si="1"/>
        <v>29</v>
      </c>
    </row>
    <row r="16" spans="1:3" ht="13.5" thickBot="1">
      <c r="A16" s="3">
        <v>1023652138</v>
      </c>
      <c r="B16" s="9">
        <f t="shared" ca="1" si="0"/>
        <v>2</v>
      </c>
      <c r="C16" s="141">
        <f t="shared" ca="1" si="1"/>
        <v>58</v>
      </c>
    </row>
    <row r="17" spans="1:3" ht="13.5" thickBot="1">
      <c r="A17" s="3">
        <f>A16+13</f>
        <v>1023652151</v>
      </c>
      <c r="B17" s="9">
        <f t="shared" ca="1" si="0"/>
        <v>2</v>
      </c>
      <c r="C17" s="141">
        <f t="shared" ca="1" si="1"/>
        <v>58</v>
      </c>
    </row>
    <row r="18" spans="1:3" ht="13.5" thickBot="1">
      <c r="A18" s="3">
        <v>1023652139</v>
      </c>
      <c r="B18" s="9">
        <f t="shared" ca="1" si="0"/>
        <v>4</v>
      </c>
      <c r="C18" s="141">
        <f t="shared" ca="1" si="1"/>
        <v>116</v>
      </c>
    </row>
    <row r="19" spans="1:3" ht="13.5" thickBot="1">
      <c r="A19" s="3">
        <f>A18+13</f>
        <v>1023652152</v>
      </c>
      <c r="B19" s="9">
        <f t="shared" ca="1" si="0"/>
        <v>5</v>
      </c>
      <c r="C19" s="141">
        <f t="shared" ca="1" si="1"/>
        <v>145</v>
      </c>
    </row>
    <row r="20" spans="1:3" ht="13.5" thickBot="1">
      <c r="A20" s="3">
        <v>1023652140</v>
      </c>
      <c r="B20" s="9">
        <f t="shared" ca="1" si="0"/>
        <v>2</v>
      </c>
      <c r="C20" s="141">
        <f t="shared" ca="1" si="1"/>
        <v>58</v>
      </c>
    </row>
    <row r="21" spans="1:3" ht="13.5" thickBot="1">
      <c r="A21" s="3">
        <f>A20+13</f>
        <v>1023652153</v>
      </c>
      <c r="B21" s="9">
        <f t="shared" ca="1" si="0"/>
        <v>5</v>
      </c>
      <c r="C21" s="141">
        <f t="shared" ca="1" si="1"/>
        <v>145</v>
      </c>
    </row>
    <row r="22" spans="1:3" ht="13.5" thickBot="1">
      <c r="A22" s="3">
        <v>1023652141</v>
      </c>
      <c r="B22" s="9">
        <f t="shared" ca="1" si="0"/>
        <v>2</v>
      </c>
      <c r="C22" s="141">
        <f t="shared" ca="1" si="1"/>
        <v>58</v>
      </c>
    </row>
    <row r="23" spans="1:3" ht="13.5" thickBot="1">
      <c r="A23" s="3">
        <f>A22+13</f>
        <v>1023652154</v>
      </c>
      <c r="B23" s="9">
        <f t="shared" ca="1" si="0"/>
        <v>1</v>
      </c>
      <c r="C23" s="141">
        <f t="shared" ca="1" si="1"/>
        <v>29</v>
      </c>
    </row>
    <row r="24" spans="1:3" ht="13.5" thickBot="1">
      <c r="A24" s="3">
        <v>1023652142</v>
      </c>
      <c r="B24" s="9">
        <f t="shared" ca="1" si="0"/>
        <v>5</v>
      </c>
      <c r="C24" s="141">
        <f t="shared" ca="1" si="1"/>
        <v>145</v>
      </c>
    </row>
    <row r="25" spans="1:3" ht="13.5" thickBot="1">
      <c r="A25" s="3">
        <f>A24+13</f>
        <v>1023652155</v>
      </c>
      <c r="B25" s="9">
        <f t="shared" ca="1" si="0"/>
        <v>6</v>
      </c>
      <c r="C25" s="141">
        <f t="shared" ca="1" si="1"/>
        <v>174</v>
      </c>
    </row>
    <row r="26" spans="1:3" ht="13.5" thickBot="1">
      <c r="A26" s="3">
        <v>1023652143</v>
      </c>
      <c r="B26" s="9">
        <f t="shared" ca="1" si="0"/>
        <v>6</v>
      </c>
      <c r="C26" s="141">
        <f t="shared" ca="1" si="1"/>
        <v>174</v>
      </c>
    </row>
    <row r="27" spans="1:3" ht="13.5" thickBot="1">
      <c r="A27" s="3">
        <f>A26+13</f>
        <v>1023652156</v>
      </c>
      <c r="B27" s="9">
        <f t="shared" ca="1" si="0"/>
        <v>1</v>
      </c>
      <c r="C27" s="141">
        <f t="shared" ca="1" si="1"/>
        <v>29</v>
      </c>
    </row>
    <row r="28" spans="1:3" ht="13.5" thickBot="1">
      <c r="A28" s="3">
        <v>1023652144</v>
      </c>
      <c r="B28" s="9">
        <f t="shared" ca="1" si="0"/>
        <v>3</v>
      </c>
      <c r="C28" s="141">
        <f t="shared" ca="1" si="1"/>
        <v>87</v>
      </c>
    </row>
    <row r="29" spans="1:3" ht="13.5" thickBot="1">
      <c r="A29" s="3">
        <f>A28+13</f>
        <v>1023652157</v>
      </c>
      <c r="B29" s="9">
        <f t="shared" ca="1" si="0"/>
        <v>1</v>
      </c>
      <c r="C29" s="141">
        <f t="shared" ca="1" si="1"/>
        <v>29</v>
      </c>
    </row>
    <row r="30" spans="1:3" ht="13.5" thickBot="1">
      <c r="A30" s="3">
        <v>1023652145</v>
      </c>
      <c r="B30" s="9">
        <f t="shared" ca="1" si="0"/>
        <v>2</v>
      </c>
      <c r="C30" s="141">
        <f t="shared" ca="1" si="1"/>
        <v>58</v>
      </c>
    </row>
    <row r="31" spans="1:3" ht="13.5" thickBot="1">
      <c r="A31" s="3">
        <f>A30+13</f>
        <v>1023652158</v>
      </c>
      <c r="B31" s="9">
        <f t="shared" ca="1" si="0"/>
        <v>4</v>
      </c>
      <c r="C31" s="141">
        <f t="shared" ca="1" si="1"/>
        <v>116</v>
      </c>
    </row>
    <row r="32" spans="1:3" ht="13.5" thickBot="1">
      <c r="A32" s="3">
        <v>1023652146</v>
      </c>
      <c r="B32" s="9">
        <f t="shared" ca="1" si="0"/>
        <v>2</v>
      </c>
      <c r="C32" s="141">
        <f t="shared" ca="1" si="1"/>
        <v>58</v>
      </c>
    </row>
    <row r="33" spans="1:3" ht="13.5" thickBot="1">
      <c r="A33" s="3">
        <f>A32+13</f>
        <v>1023652159</v>
      </c>
      <c r="B33" s="9">
        <f t="shared" ca="1" si="0"/>
        <v>3</v>
      </c>
      <c r="C33" s="141">
        <f t="shared" ca="1" si="1"/>
        <v>87</v>
      </c>
    </row>
    <row r="34" spans="1:3" ht="13.5" thickBot="1">
      <c r="A34" s="3">
        <v>1023652147</v>
      </c>
      <c r="B34" s="9">
        <f t="shared" ca="1" si="0"/>
        <v>1</v>
      </c>
      <c r="C34" s="141">
        <f t="shared" ca="1" si="1"/>
        <v>29</v>
      </c>
    </row>
    <row r="35" spans="1:3" ht="13.5" thickBot="1">
      <c r="A35" s="3">
        <f>A34+13</f>
        <v>1023652160</v>
      </c>
      <c r="B35" s="9">
        <f t="shared" ca="1" si="0"/>
        <v>3</v>
      </c>
      <c r="C35" s="141">
        <f t="shared" ca="1" si="1"/>
        <v>87</v>
      </c>
    </row>
    <row r="36" spans="1:3" ht="13.5" thickBot="1">
      <c r="A36" s="3">
        <v>1023652148</v>
      </c>
      <c r="B36" s="9">
        <f t="shared" ca="1" si="0"/>
        <v>5</v>
      </c>
      <c r="C36" s="141">
        <f t="shared" ca="1" si="1"/>
        <v>145</v>
      </c>
    </row>
    <row r="37" spans="1:3" ht="13.5" thickBot="1">
      <c r="A37" s="3">
        <f>A36+13</f>
        <v>1023652161</v>
      </c>
      <c r="B37" s="9">
        <f t="shared" ca="1" si="0"/>
        <v>3</v>
      </c>
      <c r="C37" s="141">
        <f t="shared" ca="1" si="1"/>
        <v>87</v>
      </c>
    </row>
    <row r="38" spans="1:3" ht="13.5" thickBot="1">
      <c r="A38" s="3">
        <v>1023652149</v>
      </c>
      <c r="B38" s="9">
        <f t="shared" ca="1" si="0"/>
        <v>0</v>
      </c>
      <c r="C38" s="141">
        <f t="shared" ca="1" si="1"/>
        <v>0</v>
      </c>
    </row>
    <row r="39" spans="1:3" ht="13.5" thickBot="1">
      <c r="A39" s="3">
        <f>A38+13</f>
        <v>1023652162</v>
      </c>
      <c r="B39" s="9">
        <f t="shared" ca="1" si="0"/>
        <v>4</v>
      </c>
      <c r="C39" s="141">
        <f t="shared" ca="1" si="1"/>
        <v>116</v>
      </c>
    </row>
    <row r="40" spans="1:3" ht="13.5" thickBot="1">
      <c r="A40" s="3">
        <v>1023652150</v>
      </c>
      <c r="B40" s="9">
        <f t="shared" ca="1" si="0"/>
        <v>0</v>
      </c>
      <c r="C40" s="141">
        <f t="shared" ca="1" si="1"/>
        <v>0</v>
      </c>
    </row>
    <row r="41" spans="1:3" ht="13.5" thickBot="1">
      <c r="A41" s="3">
        <f>A40+13</f>
        <v>1023652163</v>
      </c>
      <c r="B41" s="9">
        <f t="shared" ca="1" si="0"/>
        <v>1</v>
      </c>
      <c r="C41" s="141">
        <f t="shared" ca="1" si="1"/>
        <v>29</v>
      </c>
    </row>
    <row r="42" spans="1:3" ht="13.5" thickBot="1">
      <c r="A42" s="3">
        <v>1023652151</v>
      </c>
      <c r="B42" s="9">
        <f t="shared" ca="1" si="0"/>
        <v>4</v>
      </c>
      <c r="C42" s="141">
        <f t="shared" ca="1" si="1"/>
        <v>116</v>
      </c>
    </row>
    <row r="43" spans="1:3" ht="13.5" thickBot="1">
      <c r="A43" s="3">
        <f>A42+13</f>
        <v>1023652164</v>
      </c>
      <c r="B43" s="9">
        <f t="shared" ca="1" si="0"/>
        <v>3</v>
      </c>
      <c r="C43" s="141">
        <f t="shared" ca="1" si="1"/>
        <v>87</v>
      </c>
    </row>
    <row r="44" spans="1:3" ht="13.5" thickBot="1">
      <c r="A44" s="3">
        <v>1023652152</v>
      </c>
      <c r="B44" s="9">
        <f t="shared" ca="1" si="0"/>
        <v>3</v>
      </c>
      <c r="C44" s="141">
        <f t="shared" ca="1" si="1"/>
        <v>87</v>
      </c>
    </row>
    <row r="45" spans="1:3" ht="13.5" thickBot="1">
      <c r="A45" s="3">
        <f>A44+13</f>
        <v>1023652165</v>
      </c>
      <c r="B45" s="9">
        <f t="shared" ca="1" si="0"/>
        <v>4</v>
      </c>
      <c r="C45" s="141">
        <f t="shared" ca="1" si="1"/>
        <v>116</v>
      </c>
    </row>
    <row r="46" spans="1:3" ht="13.5" thickBot="1">
      <c r="A46" s="3">
        <v>1023652153</v>
      </c>
      <c r="B46" s="9">
        <f t="shared" ca="1" si="0"/>
        <v>6</v>
      </c>
      <c r="C46" s="141">
        <f t="shared" ca="1" si="1"/>
        <v>174</v>
      </c>
    </row>
    <row r="47" spans="1:3" ht="13.5" thickBot="1">
      <c r="A47" s="3">
        <f>A46+13</f>
        <v>1023652166</v>
      </c>
      <c r="B47" s="9">
        <f t="shared" ca="1" si="0"/>
        <v>1</v>
      </c>
      <c r="C47" s="141">
        <f t="shared" ca="1" si="1"/>
        <v>29</v>
      </c>
    </row>
    <row r="48" spans="1:3" ht="13.5" thickBot="1">
      <c r="A48" s="3">
        <v>1023652154</v>
      </c>
      <c r="B48" s="9">
        <f t="shared" ca="1" si="0"/>
        <v>5</v>
      </c>
      <c r="C48" s="141">
        <f t="shared" ca="1" si="1"/>
        <v>145</v>
      </c>
    </row>
    <row r="49" spans="1:3" ht="13.5" thickBot="1">
      <c r="A49" s="3">
        <f>A48+13</f>
        <v>1023652167</v>
      </c>
      <c r="B49" s="9">
        <f t="shared" ca="1" si="0"/>
        <v>2</v>
      </c>
      <c r="C49" s="141">
        <f t="shared" ca="1" si="1"/>
        <v>58</v>
      </c>
    </row>
    <row r="50" spans="1:3" ht="13.5" thickBot="1">
      <c r="A50" s="3">
        <v>1023652155</v>
      </c>
      <c r="B50" s="9">
        <f t="shared" ca="1" si="0"/>
        <v>4</v>
      </c>
      <c r="C50" s="141">
        <f t="shared" ca="1" si="1"/>
        <v>116</v>
      </c>
    </row>
    <row r="51" spans="1:3" ht="13.5" thickBot="1">
      <c r="A51" s="3">
        <f>A50+13</f>
        <v>1023652168</v>
      </c>
      <c r="B51" s="9">
        <f t="shared" ca="1" si="0"/>
        <v>5</v>
      </c>
      <c r="C51" s="141">
        <f t="shared" ca="1" si="1"/>
        <v>145</v>
      </c>
    </row>
    <row r="52" spans="1:3" ht="13.5" thickBot="1">
      <c r="A52" s="3">
        <v>1023652156</v>
      </c>
      <c r="B52" s="9">
        <f t="shared" ca="1" si="0"/>
        <v>3</v>
      </c>
      <c r="C52" s="141">
        <f t="shared" ca="1" si="1"/>
        <v>87</v>
      </c>
    </row>
    <row r="53" spans="1:3" ht="13.5" thickBot="1">
      <c r="A53" s="3">
        <f>A52+13</f>
        <v>1023652169</v>
      </c>
      <c r="B53" s="9">
        <f t="shared" ca="1" si="0"/>
        <v>4</v>
      </c>
      <c r="C53" s="141">
        <f t="shared" ca="1" si="1"/>
        <v>116</v>
      </c>
    </row>
    <row r="54" spans="1:3" ht="13.5" thickBot="1">
      <c r="A54" s="3">
        <v>1023652157</v>
      </c>
      <c r="B54" s="9">
        <f t="shared" ca="1" si="0"/>
        <v>2</v>
      </c>
      <c r="C54" s="141">
        <f t="shared" ca="1" si="1"/>
        <v>58</v>
      </c>
    </row>
    <row r="55" spans="1:3" ht="13.5" thickBot="1">
      <c r="A55" s="3">
        <f>A54+13</f>
        <v>1023652170</v>
      </c>
      <c r="B55" s="9">
        <f t="shared" ca="1" si="0"/>
        <v>5</v>
      </c>
      <c r="C55" s="141">
        <f t="shared" ca="1" si="1"/>
        <v>145</v>
      </c>
    </row>
    <row r="56" spans="1:3" ht="13.5" thickBot="1">
      <c r="A56" s="3">
        <v>1023652158</v>
      </c>
      <c r="B56" s="9">
        <f t="shared" ca="1" si="0"/>
        <v>1</v>
      </c>
      <c r="C56" s="141">
        <f t="shared" ca="1" si="1"/>
        <v>29</v>
      </c>
    </row>
    <row r="57" spans="1:3" ht="13.5" thickBot="1">
      <c r="A57" s="3">
        <f>A56+13</f>
        <v>1023652171</v>
      </c>
      <c r="B57" s="9">
        <f t="shared" ca="1" si="0"/>
        <v>5</v>
      </c>
      <c r="C57" s="141">
        <f t="shared" ca="1" si="1"/>
        <v>145</v>
      </c>
    </row>
    <row r="58" spans="1:3" ht="13.5" thickBot="1">
      <c r="A58" s="3">
        <v>1023652159</v>
      </c>
      <c r="B58" s="9">
        <f t="shared" ca="1" si="0"/>
        <v>6</v>
      </c>
      <c r="C58" s="141">
        <f t="shared" ca="1" si="1"/>
        <v>174</v>
      </c>
    </row>
    <row r="59" spans="1:3" ht="13.5" thickBot="1">
      <c r="A59" s="3">
        <f>A58+13</f>
        <v>1023652172</v>
      </c>
      <c r="B59" s="9">
        <f t="shared" ca="1" si="0"/>
        <v>3</v>
      </c>
      <c r="C59" s="141">
        <f t="shared" ca="1" si="1"/>
        <v>87</v>
      </c>
    </row>
    <row r="60" spans="1:3" ht="13.5" thickBot="1">
      <c r="A60" s="3">
        <v>1023652160</v>
      </c>
      <c r="B60" s="9">
        <f t="shared" ca="1" si="0"/>
        <v>2</v>
      </c>
      <c r="C60" s="141">
        <f t="shared" ca="1" si="1"/>
        <v>58</v>
      </c>
    </row>
    <row r="61" spans="1:3" ht="13.5" thickBot="1">
      <c r="A61" s="3">
        <f>A60+13</f>
        <v>1023652173</v>
      </c>
      <c r="B61" s="9">
        <f t="shared" ca="1" si="0"/>
        <v>4</v>
      </c>
      <c r="C61" s="141">
        <f t="shared" ca="1" si="1"/>
        <v>116</v>
      </c>
    </row>
    <row r="62" spans="1:3" ht="13.5" thickBot="1">
      <c r="A62" s="3">
        <v>1023652161</v>
      </c>
      <c r="B62" s="9">
        <f t="shared" ca="1" si="0"/>
        <v>1</v>
      </c>
      <c r="C62" s="141">
        <f t="shared" ca="1" si="1"/>
        <v>29</v>
      </c>
    </row>
    <row r="63" spans="1:3" ht="13.5" thickBot="1">
      <c r="A63" s="3">
        <f>A62+13</f>
        <v>1023652174</v>
      </c>
      <c r="B63" s="9">
        <f t="shared" ca="1" si="0"/>
        <v>2</v>
      </c>
      <c r="C63" s="141">
        <f t="shared" ca="1" si="1"/>
        <v>58</v>
      </c>
    </row>
    <row r="64" spans="1:3" ht="13.5" thickBot="1">
      <c r="A64" s="3">
        <v>1023652162</v>
      </c>
      <c r="B64" s="9">
        <f t="shared" ca="1" si="0"/>
        <v>5</v>
      </c>
      <c r="C64" s="141">
        <f t="shared" ca="1" si="1"/>
        <v>145</v>
      </c>
    </row>
    <row r="65" spans="1:3" ht="13.5" thickBot="1">
      <c r="A65" s="3">
        <f>A64+13</f>
        <v>1023652175</v>
      </c>
      <c r="B65" s="9">
        <f t="shared" ca="1" si="0"/>
        <v>5</v>
      </c>
      <c r="C65" s="141">
        <f t="shared" ca="1" si="1"/>
        <v>145</v>
      </c>
    </row>
    <row r="66" spans="1:3" ht="13.5" thickBot="1">
      <c r="A66" s="3">
        <v>1023652163</v>
      </c>
      <c r="B66" s="9">
        <f t="shared" ca="1" si="0"/>
        <v>0</v>
      </c>
      <c r="C66" s="141">
        <f t="shared" ca="1" si="1"/>
        <v>0</v>
      </c>
    </row>
    <row r="67" spans="1:3" ht="13.5" thickBot="1">
      <c r="A67" s="3">
        <f>A66+13</f>
        <v>1023652176</v>
      </c>
      <c r="B67" s="9">
        <f t="shared" ca="1" si="0"/>
        <v>1</v>
      </c>
      <c r="C67" s="141">
        <f t="shared" ca="1" si="1"/>
        <v>29</v>
      </c>
    </row>
    <row r="68" spans="1:3" ht="13.5" thickBot="1">
      <c r="A68" s="3">
        <v>1023652164</v>
      </c>
      <c r="B68" s="9">
        <f t="shared" ca="1" si="0"/>
        <v>0</v>
      </c>
      <c r="C68" s="141">
        <f t="shared" ca="1" si="1"/>
        <v>0</v>
      </c>
    </row>
    <row r="69" spans="1:3" ht="13.5" thickBot="1">
      <c r="A69" s="3">
        <f>A68+13</f>
        <v>1023652177</v>
      </c>
      <c r="B69" s="9">
        <f t="shared" ca="1" si="0"/>
        <v>6</v>
      </c>
      <c r="C69" s="141">
        <f t="shared" ca="1" si="1"/>
        <v>174</v>
      </c>
    </row>
    <row r="70" spans="1:3" ht="13.5" thickBot="1">
      <c r="A70" s="3">
        <v>1023652165</v>
      </c>
      <c r="B70" s="9">
        <f t="shared" ca="1" si="0"/>
        <v>4</v>
      </c>
      <c r="C70" s="141">
        <f t="shared" ca="1" si="1"/>
        <v>116</v>
      </c>
    </row>
    <row r="71" spans="1:3" ht="13.5" thickBot="1">
      <c r="A71" s="3">
        <f>A70+13</f>
        <v>1023652178</v>
      </c>
      <c r="B71" s="9">
        <f t="shared" ca="1" si="0"/>
        <v>3</v>
      </c>
      <c r="C71" s="141">
        <f t="shared" ca="1" si="1"/>
        <v>87</v>
      </c>
    </row>
    <row r="72" spans="1:3" ht="13.5" thickBot="1">
      <c r="A72" s="3">
        <v>1023652166</v>
      </c>
      <c r="B72" s="9">
        <f t="shared" ca="1" si="0"/>
        <v>4</v>
      </c>
      <c r="C72" s="141">
        <f t="shared" ca="1" si="1"/>
        <v>116</v>
      </c>
    </row>
    <row r="73" spans="1:3" ht="13.5" thickBot="1">
      <c r="A73" s="3">
        <f>A72+13</f>
        <v>1023652179</v>
      </c>
      <c r="B73" s="9">
        <f t="shared" ca="1" si="0"/>
        <v>1</v>
      </c>
      <c r="C73" s="141">
        <f t="shared" ca="1" si="1"/>
        <v>29</v>
      </c>
    </row>
    <row r="74" spans="1:3" ht="13.5" thickBot="1">
      <c r="A74" s="3">
        <v>1023652167</v>
      </c>
      <c r="B74" s="9">
        <f t="shared" ca="1" si="0"/>
        <v>0</v>
      </c>
      <c r="C74" s="141">
        <f t="shared" ca="1" si="1"/>
        <v>0</v>
      </c>
    </row>
    <row r="75" spans="1:3" ht="13.5" thickBot="1">
      <c r="A75" s="3">
        <f>A74+13</f>
        <v>1023652180</v>
      </c>
      <c r="B75" s="9">
        <f t="shared" ref="B75:B138" ca="1" si="2">ROUND(RAND()*6,0)</f>
        <v>6</v>
      </c>
      <c r="C75" s="141">
        <f t="shared" ref="C75:C138" ca="1" si="3">B75 * $A$2</f>
        <v>174</v>
      </c>
    </row>
    <row r="76" spans="1:3" ht="13.5" thickBot="1">
      <c r="A76" s="3">
        <v>1023652168</v>
      </c>
      <c r="B76" s="9">
        <f t="shared" ca="1" si="2"/>
        <v>0</v>
      </c>
      <c r="C76" s="141">
        <f t="shared" ca="1" si="3"/>
        <v>0</v>
      </c>
    </row>
    <row r="77" spans="1:3" ht="13.5" thickBot="1">
      <c r="A77" s="3">
        <f>A76+13</f>
        <v>1023652181</v>
      </c>
      <c r="B77" s="9">
        <f t="shared" ca="1" si="2"/>
        <v>4</v>
      </c>
      <c r="C77" s="141">
        <f t="shared" ca="1" si="3"/>
        <v>116</v>
      </c>
    </row>
    <row r="78" spans="1:3" ht="13.5" thickBot="1">
      <c r="A78" s="3">
        <v>1023652169</v>
      </c>
      <c r="B78" s="9">
        <f t="shared" ca="1" si="2"/>
        <v>1</v>
      </c>
      <c r="C78" s="141">
        <f t="shared" ca="1" si="3"/>
        <v>29</v>
      </c>
    </row>
    <row r="79" spans="1:3" ht="13.5" thickBot="1">
      <c r="A79" s="3">
        <f>A78+13</f>
        <v>1023652182</v>
      </c>
      <c r="B79" s="9">
        <f t="shared" ca="1" si="2"/>
        <v>1</v>
      </c>
      <c r="C79" s="141">
        <f t="shared" ca="1" si="3"/>
        <v>29</v>
      </c>
    </row>
    <row r="80" spans="1:3" ht="13.5" thickBot="1">
      <c r="A80" s="3">
        <v>1023652170</v>
      </c>
      <c r="B80" s="9">
        <f t="shared" ca="1" si="2"/>
        <v>2</v>
      </c>
      <c r="C80" s="141">
        <f t="shared" ca="1" si="3"/>
        <v>58</v>
      </c>
    </row>
    <row r="81" spans="1:3" ht="13.5" thickBot="1">
      <c r="A81" s="3">
        <f>A80+13</f>
        <v>1023652183</v>
      </c>
      <c r="B81" s="9">
        <f t="shared" ca="1" si="2"/>
        <v>5</v>
      </c>
      <c r="C81" s="141">
        <f t="shared" ca="1" si="3"/>
        <v>145</v>
      </c>
    </row>
    <row r="82" spans="1:3" ht="13.5" thickBot="1">
      <c r="A82" s="3">
        <v>1023652171</v>
      </c>
      <c r="B82" s="9">
        <f t="shared" ca="1" si="2"/>
        <v>3</v>
      </c>
      <c r="C82" s="141">
        <f t="shared" ca="1" si="3"/>
        <v>87</v>
      </c>
    </row>
    <row r="83" spans="1:3" ht="13.5" thickBot="1">
      <c r="A83" s="3">
        <f>A82+13</f>
        <v>1023652184</v>
      </c>
      <c r="B83" s="9">
        <f t="shared" ca="1" si="2"/>
        <v>0</v>
      </c>
      <c r="C83" s="141">
        <f t="shared" ca="1" si="3"/>
        <v>0</v>
      </c>
    </row>
    <row r="84" spans="1:3" ht="13.5" thickBot="1">
      <c r="A84" s="3">
        <v>1023652172</v>
      </c>
      <c r="B84" s="9">
        <f t="shared" ca="1" si="2"/>
        <v>0</v>
      </c>
      <c r="C84" s="141">
        <f t="shared" ca="1" si="3"/>
        <v>0</v>
      </c>
    </row>
    <row r="85" spans="1:3" ht="13.5" thickBot="1">
      <c r="A85" s="3">
        <f>A84+13</f>
        <v>1023652185</v>
      </c>
      <c r="B85" s="9">
        <f t="shared" ca="1" si="2"/>
        <v>1</v>
      </c>
      <c r="C85" s="141">
        <f t="shared" ca="1" si="3"/>
        <v>29</v>
      </c>
    </row>
    <row r="86" spans="1:3" ht="13.5" thickBot="1">
      <c r="A86" s="3">
        <v>1023652173</v>
      </c>
      <c r="B86" s="9">
        <f t="shared" ca="1" si="2"/>
        <v>2</v>
      </c>
      <c r="C86" s="141">
        <f t="shared" ca="1" si="3"/>
        <v>58</v>
      </c>
    </row>
    <row r="87" spans="1:3" ht="13.5" thickBot="1">
      <c r="A87" s="3">
        <f>A86+13</f>
        <v>1023652186</v>
      </c>
      <c r="B87" s="9">
        <f t="shared" ca="1" si="2"/>
        <v>1</v>
      </c>
      <c r="C87" s="141">
        <f t="shared" ca="1" si="3"/>
        <v>29</v>
      </c>
    </row>
    <row r="88" spans="1:3" ht="13.5" thickBot="1">
      <c r="A88" s="3">
        <v>1023652174</v>
      </c>
      <c r="B88" s="9">
        <f t="shared" ca="1" si="2"/>
        <v>0</v>
      </c>
      <c r="C88" s="141">
        <f t="shared" ca="1" si="3"/>
        <v>0</v>
      </c>
    </row>
    <row r="89" spans="1:3" ht="13.5" thickBot="1">
      <c r="A89" s="3">
        <f>A88+13</f>
        <v>1023652187</v>
      </c>
      <c r="B89" s="9">
        <f t="shared" ca="1" si="2"/>
        <v>3</v>
      </c>
      <c r="C89" s="141">
        <f t="shared" ca="1" si="3"/>
        <v>87</v>
      </c>
    </row>
    <row r="90" spans="1:3" ht="13.5" thickBot="1">
      <c r="A90" s="3">
        <v>1023652175</v>
      </c>
      <c r="B90" s="9">
        <f t="shared" ca="1" si="2"/>
        <v>1</v>
      </c>
      <c r="C90" s="141">
        <f t="shared" ca="1" si="3"/>
        <v>29</v>
      </c>
    </row>
    <row r="91" spans="1:3" ht="13.5" thickBot="1">
      <c r="A91" s="3">
        <f>A90+13</f>
        <v>1023652188</v>
      </c>
      <c r="B91" s="9">
        <f t="shared" ca="1" si="2"/>
        <v>1</v>
      </c>
      <c r="C91" s="141">
        <f t="shared" ca="1" si="3"/>
        <v>29</v>
      </c>
    </row>
    <row r="92" spans="1:3" ht="13.5" thickBot="1">
      <c r="A92" s="3">
        <v>1023652176</v>
      </c>
      <c r="B92" s="9">
        <f t="shared" ca="1" si="2"/>
        <v>0</v>
      </c>
      <c r="C92" s="141">
        <f t="shared" ca="1" si="3"/>
        <v>0</v>
      </c>
    </row>
    <row r="93" spans="1:3" ht="13.5" thickBot="1">
      <c r="A93" s="3">
        <f>A92+13</f>
        <v>1023652189</v>
      </c>
      <c r="B93" s="9">
        <f t="shared" ca="1" si="2"/>
        <v>3</v>
      </c>
      <c r="C93" s="141">
        <f t="shared" ca="1" si="3"/>
        <v>87</v>
      </c>
    </row>
    <row r="94" spans="1:3" ht="13.5" thickBot="1">
      <c r="A94" s="3">
        <v>1023652177</v>
      </c>
      <c r="B94" s="9">
        <f t="shared" ca="1" si="2"/>
        <v>6</v>
      </c>
      <c r="C94" s="141">
        <f t="shared" ca="1" si="3"/>
        <v>174</v>
      </c>
    </row>
    <row r="95" spans="1:3" ht="13.5" thickBot="1">
      <c r="A95" s="3">
        <f>A94+13</f>
        <v>1023652190</v>
      </c>
      <c r="B95" s="9">
        <f t="shared" ca="1" si="2"/>
        <v>2</v>
      </c>
      <c r="C95" s="141">
        <f t="shared" ca="1" si="3"/>
        <v>58</v>
      </c>
    </row>
    <row r="96" spans="1:3" ht="13.5" thickBot="1">
      <c r="A96" s="3">
        <v>1023652178</v>
      </c>
      <c r="B96" s="9">
        <f t="shared" ca="1" si="2"/>
        <v>1</v>
      </c>
      <c r="C96" s="141">
        <f t="shared" ca="1" si="3"/>
        <v>29</v>
      </c>
    </row>
    <row r="97" spans="1:3" ht="13.5" thickBot="1">
      <c r="A97" s="3">
        <f>A96+13</f>
        <v>1023652191</v>
      </c>
      <c r="B97" s="9">
        <f t="shared" ca="1" si="2"/>
        <v>1</v>
      </c>
      <c r="C97" s="141">
        <f t="shared" ca="1" si="3"/>
        <v>29</v>
      </c>
    </row>
    <row r="98" spans="1:3" ht="13.5" thickBot="1">
      <c r="A98" s="3">
        <v>1023652179</v>
      </c>
      <c r="B98" s="9">
        <f t="shared" ca="1" si="2"/>
        <v>4</v>
      </c>
      <c r="C98" s="141">
        <f t="shared" ca="1" si="3"/>
        <v>116</v>
      </c>
    </row>
    <row r="99" spans="1:3" ht="13.5" thickBot="1">
      <c r="A99" s="3">
        <f>A98+13</f>
        <v>1023652192</v>
      </c>
      <c r="B99" s="9">
        <f t="shared" ca="1" si="2"/>
        <v>3</v>
      </c>
      <c r="C99" s="141">
        <f t="shared" ca="1" si="3"/>
        <v>87</v>
      </c>
    </row>
    <row r="100" spans="1:3" ht="13.5" thickBot="1">
      <c r="A100" s="3">
        <v>1023652180</v>
      </c>
      <c r="B100" s="9">
        <f t="shared" ca="1" si="2"/>
        <v>4</v>
      </c>
      <c r="C100" s="141">
        <f t="shared" ca="1" si="3"/>
        <v>116</v>
      </c>
    </row>
    <row r="101" spans="1:3" ht="13.5" thickBot="1">
      <c r="A101" s="3">
        <f>A100+13</f>
        <v>1023652193</v>
      </c>
      <c r="B101" s="9">
        <f t="shared" ca="1" si="2"/>
        <v>6</v>
      </c>
      <c r="C101" s="141">
        <f t="shared" ca="1" si="3"/>
        <v>174</v>
      </c>
    </row>
    <row r="102" spans="1:3" ht="13.5" thickBot="1">
      <c r="A102" s="3">
        <v>1023652181</v>
      </c>
      <c r="B102" s="9">
        <f t="shared" ca="1" si="2"/>
        <v>5</v>
      </c>
      <c r="C102" s="141">
        <f t="shared" ca="1" si="3"/>
        <v>145</v>
      </c>
    </row>
    <row r="103" spans="1:3" ht="13.5" thickBot="1">
      <c r="A103" s="3">
        <f>A102+13</f>
        <v>1023652194</v>
      </c>
      <c r="B103" s="9">
        <f t="shared" ca="1" si="2"/>
        <v>3</v>
      </c>
      <c r="C103" s="141">
        <f t="shared" ca="1" si="3"/>
        <v>87</v>
      </c>
    </row>
    <row r="104" spans="1:3" ht="13.5" thickBot="1">
      <c r="A104" s="3">
        <v>1023652182</v>
      </c>
      <c r="B104" s="9">
        <f t="shared" ca="1" si="2"/>
        <v>6</v>
      </c>
      <c r="C104" s="141">
        <f t="shared" ca="1" si="3"/>
        <v>174</v>
      </c>
    </row>
    <row r="105" spans="1:3" ht="13.5" thickBot="1">
      <c r="A105" s="3">
        <f>A104+13</f>
        <v>1023652195</v>
      </c>
      <c r="B105" s="9">
        <f t="shared" ca="1" si="2"/>
        <v>1</v>
      </c>
      <c r="C105" s="141">
        <f t="shared" ca="1" si="3"/>
        <v>29</v>
      </c>
    </row>
    <row r="106" spans="1:3" ht="13.5" thickBot="1">
      <c r="A106" s="3">
        <v>1023652183</v>
      </c>
      <c r="B106" s="9">
        <f t="shared" ca="1" si="2"/>
        <v>3</v>
      </c>
      <c r="C106" s="141">
        <f t="shared" ca="1" si="3"/>
        <v>87</v>
      </c>
    </row>
    <row r="107" spans="1:3" ht="13.5" thickBot="1">
      <c r="A107" s="3">
        <f>A106+13</f>
        <v>1023652196</v>
      </c>
      <c r="B107" s="9">
        <f t="shared" ca="1" si="2"/>
        <v>4</v>
      </c>
      <c r="C107" s="141">
        <f t="shared" ca="1" si="3"/>
        <v>116</v>
      </c>
    </row>
    <row r="108" spans="1:3" ht="13.5" thickBot="1">
      <c r="A108" s="3">
        <v>1023652184</v>
      </c>
      <c r="B108" s="9">
        <f t="shared" ca="1" si="2"/>
        <v>4</v>
      </c>
      <c r="C108" s="141">
        <f t="shared" ca="1" si="3"/>
        <v>116</v>
      </c>
    </row>
    <row r="109" spans="1:3" ht="13.5" thickBot="1">
      <c r="A109" s="3">
        <f>A108+13</f>
        <v>1023652197</v>
      </c>
      <c r="B109" s="9">
        <f t="shared" ca="1" si="2"/>
        <v>4</v>
      </c>
      <c r="C109" s="141">
        <f t="shared" ca="1" si="3"/>
        <v>116</v>
      </c>
    </row>
    <row r="110" spans="1:3" ht="13.5" thickBot="1">
      <c r="A110" s="3">
        <v>1023652185</v>
      </c>
      <c r="B110" s="9">
        <f t="shared" ca="1" si="2"/>
        <v>4</v>
      </c>
      <c r="C110" s="141">
        <f t="shared" ca="1" si="3"/>
        <v>116</v>
      </c>
    </row>
    <row r="111" spans="1:3" ht="13.5" thickBot="1">
      <c r="A111" s="3">
        <f>A110+13</f>
        <v>1023652198</v>
      </c>
      <c r="B111" s="9">
        <f t="shared" ca="1" si="2"/>
        <v>6</v>
      </c>
      <c r="C111" s="141">
        <f t="shared" ca="1" si="3"/>
        <v>174</v>
      </c>
    </row>
    <row r="112" spans="1:3" ht="13.5" thickBot="1">
      <c r="A112" s="3">
        <v>1023652186</v>
      </c>
      <c r="B112" s="9">
        <f t="shared" ca="1" si="2"/>
        <v>5</v>
      </c>
      <c r="C112" s="141">
        <f t="shared" ca="1" si="3"/>
        <v>145</v>
      </c>
    </row>
    <row r="113" spans="1:3" ht="13.5" thickBot="1">
      <c r="A113" s="3">
        <f>A112+13</f>
        <v>1023652199</v>
      </c>
      <c r="B113" s="9">
        <f t="shared" ca="1" si="2"/>
        <v>4</v>
      </c>
      <c r="C113" s="141">
        <f t="shared" ca="1" si="3"/>
        <v>116</v>
      </c>
    </row>
    <row r="114" spans="1:3" ht="13.5" thickBot="1">
      <c r="A114" s="3">
        <v>1023652187</v>
      </c>
      <c r="B114" s="9">
        <f t="shared" ca="1" si="2"/>
        <v>0</v>
      </c>
      <c r="C114" s="141">
        <f t="shared" ca="1" si="3"/>
        <v>0</v>
      </c>
    </row>
    <row r="115" spans="1:3" ht="13.5" thickBot="1">
      <c r="A115" s="3">
        <f>A114+13</f>
        <v>1023652200</v>
      </c>
      <c r="B115" s="9">
        <f t="shared" ca="1" si="2"/>
        <v>3</v>
      </c>
      <c r="C115" s="141">
        <f t="shared" ca="1" si="3"/>
        <v>87</v>
      </c>
    </row>
    <row r="116" spans="1:3" ht="13.5" thickBot="1">
      <c r="A116" s="3">
        <v>1023652188</v>
      </c>
      <c r="B116" s="9">
        <f t="shared" ca="1" si="2"/>
        <v>5</v>
      </c>
      <c r="C116" s="141">
        <f t="shared" ca="1" si="3"/>
        <v>145</v>
      </c>
    </row>
    <row r="117" spans="1:3" ht="13.5" thickBot="1">
      <c r="A117" s="3">
        <f>A116+13</f>
        <v>1023652201</v>
      </c>
      <c r="B117" s="9">
        <f t="shared" ca="1" si="2"/>
        <v>2</v>
      </c>
      <c r="C117" s="141">
        <f t="shared" ca="1" si="3"/>
        <v>58</v>
      </c>
    </row>
    <row r="118" spans="1:3" ht="13.5" thickBot="1">
      <c r="A118" s="3">
        <v>1023652189</v>
      </c>
      <c r="B118" s="9">
        <f t="shared" ca="1" si="2"/>
        <v>1</v>
      </c>
      <c r="C118" s="141">
        <f t="shared" ca="1" si="3"/>
        <v>29</v>
      </c>
    </row>
    <row r="119" spans="1:3" ht="13.5" thickBot="1">
      <c r="A119" s="3">
        <f>A118+13</f>
        <v>1023652202</v>
      </c>
      <c r="B119" s="9">
        <f t="shared" ca="1" si="2"/>
        <v>0</v>
      </c>
      <c r="C119" s="141">
        <f t="shared" ca="1" si="3"/>
        <v>0</v>
      </c>
    </row>
    <row r="120" spans="1:3" ht="13.5" thickBot="1">
      <c r="A120" s="3">
        <v>1023652190</v>
      </c>
      <c r="B120" s="9">
        <f t="shared" ca="1" si="2"/>
        <v>2</v>
      </c>
      <c r="C120" s="141">
        <f t="shared" ca="1" si="3"/>
        <v>58</v>
      </c>
    </row>
    <row r="121" spans="1:3" ht="13.5" thickBot="1">
      <c r="A121" s="3">
        <f>A120+13</f>
        <v>1023652203</v>
      </c>
      <c r="B121" s="9">
        <f t="shared" ca="1" si="2"/>
        <v>2</v>
      </c>
      <c r="C121" s="141">
        <f t="shared" ca="1" si="3"/>
        <v>58</v>
      </c>
    </row>
    <row r="122" spans="1:3" ht="13.5" thickBot="1">
      <c r="A122" s="3">
        <v>1023652191</v>
      </c>
      <c r="B122" s="9">
        <f t="shared" ca="1" si="2"/>
        <v>5</v>
      </c>
      <c r="C122" s="141">
        <f t="shared" ca="1" si="3"/>
        <v>145</v>
      </c>
    </row>
    <row r="123" spans="1:3" ht="13.5" thickBot="1">
      <c r="A123" s="3">
        <f>A122+13</f>
        <v>1023652204</v>
      </c>
      <c r="B123" s="9">
        <f t="shared" ca="1" si="2"/>
        <v>3</v>
      </c>
      <c r="C123" s="141">
        <f t="shared" ca="1" si="3"/>
        <v>87</v>
      </c>
    </row>
    <row r="124" spans="1:3" ht="13.5" thickBot="1">
      <c r="A124" s="3">
        <v>1023652192</v>
      </c>
      <c r="B124" s="9">
        <f t="shared" ca="1" si="2"/>
        <v>1</v>
      </c>
      <c r="C124" s="141">
        <f t="shared" ca="1" si="3"/>
        <v>29</v>
      </c>
    </row>
    <row r="125" spans="1:3" ht="13.5" thickBot="1">
      <c r="A125" s="3">
        <f>A124+13</f>
        <v>1023652205</v>
      </c>
      <c r="B125" s="9">
        <f t="shared" ca="1" si="2"/>
        <v>2</v>
      </c>
      <c r="C125" s="141">
        <f t="shared" ca="1" si="3"/>
        <v>58</v>
      </c>
    </row>
    <row r="126" spans="1:3" ht="13.5" thickBot="1">
      <c r="A126" s="3">
        <v>1023652193</v>
      </c>
      <c r="B126" s="9">
        <f t="shared" ca="1" si="2"/>
        <v>1</v>
      </c>
      <c r="C126" s="141">
        <f t="shared" ca="1" si="3"/>
        <v>29</v>
      </c>
    </row>
    <row r="127" spans="1:3" ht="13.5" thickBot="1">
      <c r="A127" s="3">
        <f>A126+13</f>
        <v>1023652206</v>
      </c>
      <c r="B127" s="9">
        <f t="shared" ca="1" si="2"/>
        <v>3</v>
      </c>
      <c r="C127" s="141">
        <f t="shared" ca="1" si="3"/>
        <v>87</v>
      </c>
    </row>
    <row r="128" spans="1:3" ht="13.5" thickBot="1">
      <c r="A128" s="3">
        <v>1023652194</v>
      </c>
      <c r="B128" s="9">
        <f t="shared" ca="1" si="2"/>
        <v>3</v>
      </c>
      <c r="C128" s="141">
        <f t="shared" ca="1" si="3"/>
        <v>87</v>
      </c>
    </row>
    <row r="129" spans="1:3" ht="13.5" thickBot="1">
      <c r="A129" s="3">
        <f>A128+13</f>
        <v>1023652207</v>
      </c>
      <c r="B129" s="9">
        <f t="shared" ca="1" si="2"/>
        <v>4</v>
      </c>
      <c r="C129" s="141">
        <f t="shared" ca="1" si="3"/>
        <v>116</v>
      </c>
    </row>
    <row r="130" spans="1:3" ht="13.5" thickBot="1">
      <c r="A130" s="3">
        <v>1023652195</v>
      </c>
      <c r="B130" s="9">
        <f t="shared" ca="1" si="2"/>
        <v>2</v>
      </c>
      <c r="C130" s="141">
        <f t="shared" ca="1" si="3"/>
        <v>58</v>
      </c>
    </row>
    <row r="131" spans="1:3" ht="13.5" thickBot="1">
      <c r="A131" s="3">
        <f>A130+13</f>
        <v>1023652208</v>
      </c>
      <c r="B131" s="9">
        <f t="shared" ca="1" si="2"/>
        <v>2</v>
      </c>
      <c r="C131" s="141">
        <f t="shared" ca="1" si="3"/>
        <v>58</v>
      </c>
    </row>
    <row r="132" spans="1:3" ht="13.5" thickBot="1">
      <c r="A132" s="3">
        <v>1023652196</v>
      </c>
      <c r="B132" s="9">
        <f t="shared" ca="1" si="2"/>
        <v>3</v>
      </c>
      <c r="C132" s="141">
        <f t="shared" ca="1" si="3"/>
        <v>87</v>
      </c>
    </row>
    <row r="133" spans="1:3" ht="13.5" thickBot="1">
      <c r="A133" s="3">
        <f>A132+13</f>
        <v>1023652209</v>
      </c>
      <c r="B133" s="9">
        <f t="shared" ca="1" si="2"/>
        <v>5</v>
      </c>
      <c r="C133" s="141">
        <f t="shared" ca="1" si="3"/>
        <v>145</v>
      </c>
    </row>
    <row r="134" spans="1:3" ht="13.5" thickBot="1">
      <c r="A134" s="3">
        <v>1023652197</v>
      </c>
      <c r="B134" s="9">
        <f t="shared" ca="1" si="2"/>
        <v>4</v>
      </c>
      <c r="C134" s="141">
        <f t="shared" ca="1" si="3"/>
        <v>116</v>
      </c>
    </row>
    <row r="135" spans="1:3" ht="13.5" thickBot="1">
      <c r="A135" s="3">
        <f>A134+13</f>
        <v>1023652210</v>
      </c>
      <c r="B135" s="9">
        <f t="shared" ca="1" si="2"/>
        <v>6</v>
      </c>
      <c r="C135" s="141">
        <f t="shared" ca="1" si="3"/>
        <v>174</v>
      </c>
    </row>
    <row r="136" spans="1:3" ht="13.5" thickBot="1">
      <c r="A136" s="3">
        <v>1023652198</v>
      </c>
      <c r="B136" s="9">
        <f t="shared" ca="1" si="2"/>
        <v>4</v>
      </c>
      <c r="C136" s="141">
        <f t="shared" ca="1" si="3"/>
        <v>116</v>
      </c>
    </row>
    <row r="137" spans="1:3" ht="13.5" thickBot="1">
      <c r="A137" s="3">
        <f>A136+13</f>
        <v>1023652211</v>
      </c>
      <c r="B137" s="9">
        <f t="shared" ca="1" si="2"/>
        <v>4</v>
      </c>
      <c r="C137" s="141">
        <f t="shared" ca="1" si="3"/>
        <v>116</v>
      </c>
    </row>
    <row r="138" spans="1:3" ht="13.5" thickBot="1">
      <c r="A138" s="3">
        <v>1023652199</v>
      </c>
      <c r="B138" s="9">
        <f t="shared" ca="1" si="2"/>
        <v>3</v>
      </c>
      <c r="C138" s="141">
        <f t="shared" ca="1" si="3"/>
        <v>87</v>
      </c>
    </row>
    <row r="139" spans="1:3" ht="13.5" thickBot="1">
      <c r="A139" s="3">
        <f>A138+13</f>
        <v>1023652212</v>
      </c>
      <c r="B139" s="9">
        <f t="shared" ref="B139:B200" ca="1" si="4">ROUND(RAND()*6,0)</f>
        <v>0</v>
      </c>
      <c r="C139" s="141">
        <f t="shared" ref="C139:C200" ca="1" si="5">B139 * $A$2</f>
        <v>0</v>
      </c>
    </row>
    <row r="140" spans="1:3" ht="13.5" thickBot="1">
      <c r="A140" s="3">
        <v>1023652200</v>
      </c>
      <c r="B140" s="9">
        <f t="shared" ca="1" si="4"/>
        <v>1</v>
      </c>
      <c r="C140" s="141">
        <f t="shared" ca="1" si="5"/>
        <v>29</v>
      </c>
    </row>
    <row r="141" spans="1:3" ht="13.5" thickBot="1">
      <c r="A141" s="3">
        <f>A140+13</f>
        <v>1023652213</v>
      </c>
      <c r="B141" s="9">
        <f t="shared" ca="1" si="4"/>
        <v>5</v>
      </c>
      <c r="C141" s="141">
        <f t="shared" ca="1" si="5"/>
        <v>145</v>
      </c>
    </row>
    <row r="142" spans="1:3" ht="13.5" thickBot="1">
      <c r="A142" s="3">
        <v>1023652201</v>
      </c>
      <c r="B142" s="9">
        <f t="shared" ca="1" si="4"/>
        <v>1</v>
      </c>
      <c r="C142" s="141">
        <f t="shared" ca="1" si="5"/>
        <v>29</v>
      </c>
    </row>
    <row r="143" spans="1:3" ht="13.5" thickBot="1">
      <c r="A143" s="3">
        <f>A142+13</f>
        <v>1023652214</v>
      </c>
      <c r="B143" s="9">
        <f t="shared" ca="1" si="4"/>
        <v>1</v>
      </c>
      <c r="C143" s="141">
        <f t="shared" ca="1" si="5"/>
        <v>29</v>
      </c>
    </row>
    <row r="144" spans="1:3" ht="13.5" thickBot="1">
      <c r="A144" s="3">
        <v>1023652202</v>
      </c>
      <c r="B144" s="9">
        <f t="shared" ca="1" si="4"/>
        <v>2</v>
      </c>
      <c r="C144" s="141">
        <f t="shared" ca="1" si="5"/>
        <v>58</v>
      </c>
    </row>
    <row r="145" spans="1:3" ht="13.5" thickBot="1">
      <c r="A145" s="3">
        <f>A144+13</f>
        <v>1023652215</v>
      </c>
      <c r="B145" s="9">
        <f t="shared" ca="1" si="4"/>
        <v>4</v>
      </c>
      <c r="C145" s="141">
        <f t="shared" ca="1" si="5"/>
        <v>116</v>
      </c>
    </row>
    <row r="146" spans="1:3" ht="13.5" thickBot="1">
      <c r="A146" s="3">
        <v>1023652203</v>
      </c>
      <c r="B146" s="9">
        <f t="shared" ca="1" si="4"/>
        <v>2</v>
      </c>
      <c r="C146" s="141">
        <f t="shared" ca="1" si="5"/>
        <v>58</v>
      </c>
    </row>
    <row r="147" spans="1:3" ht="13.5" thickBot="1">
      <c r="A147" s="3">
        <f>A146+13</f>
        <v>1023652216</v>
      </c>
      <c r="B147" s="9">
        <f t="shared" ca="1" si="4"/>
        <v>2</v>
      </c>
      <c r="C147" s="141">
        <f t="shared" ca="1" si="5"/>
        <v>58</v>
      </c>
    </row>
    <row r="148" spans="1:3" ht="13.5" thickBot="1">
      <c r="A148" s="3">
        <v>1023652204</v>
      </c>
      <c r="B148" s="9">
        <f t="shared" ca="1" si="4"/>
        <v>4</v>
      </c>
      <c r="C148" s="141">
        <f t="shared" ca="1" si="5"/>
        <v>116</v>
      </c>
    </row>
    <row r="149" spans="1:3" ht="13.5" thickBot="1">
      <c r="A149" s="3">
        <f>A148+13</f>
        <v>1023652217</v>
      </c>
      <c r="B149" s="9">
        <f t="shared" ca="1" si="4"/>
        <v>3</v>
      </c>
      <c r="C149" s="141">
        <f t="shared" ca="1" si="5"/>
        <v>87</v>
      </c>
    </row>
    <row r="150" spans="1:3" ht="13.5" thickBot="1">
      <c r="A150" s="3">
        <v>1023652205</v>
      </c>
      <c r="B150" s="9">
        <f t="shared" ca="1" si="4"/>
        <v>2</v>
      </c>
      <c r="C150" s="141">
        <f t="shared" ca="1" si="5"/>
        <v>58</v>
      </c>
    </row>
    <row r="151" spans="1:3" ht="13.5" thickBot="1">
      <c r="A151" s="3">
        <f>A150+13</f>
        <v>1023652218</v>
      </c>
      <c r="B151" s="9">
        <f t="shared" ca="1" si="4"/>
        <v>4</v>
      </c>
      <c r="C151" s="141">
        <f t="shared" ca="1" si="5"/>
        <v>116</v>
      </c>
    </row>
    <row r="152" spans="1:3" ht="13.5" thickBot="1">
      <c r="A152" s="3">
        <v>1023652206</v>
      </c>
      <c r="B152" s="9">
        <f t="shared" ca="1" si="4"/>
        <v>4</v>
      </c>
      <c r="C152" s="141">
        <f t="shared" ca="1" si="5"/>
        <v>116</v>
      </c>
    </row>
    <row r="153" spans="1:3" ht="13.5" thickBot="1">
      <c r="A153" s="3">
        <f>A152+13</f>
        <v>1023652219</v>
      </c>
      <c r="B153" s="9">
        <f t="shared" ca="1" si="4"/>
        <v>3</v>
      </c>
      <c r="C153" s="141">
        <f t="shared" ca="1" si="5"/>
        <v>87</v>
      </c>
    </row>
    <row r="154" spans="1:3" ht="13.5" thickBot="1">
      <c r="A154" s="3">
        <v>1023652207</v>
      </c>
      <c r="B154" s="9">
        <f t="shared" ca="1" si="4"/>
        <v>5</v>
      </c>
      <c r="C154" s="141">
        <f t="shared" ca="1" si="5"/>
        <v>145</v>
      </c>
    </row>
    <row r="155" spans="1:3" ht="13.5" thickBot="1">
      <c r="A155" s="3">
        <f>A154+13</f>
        <v>1023652220</v>
      </c>
      <c r="B155" s="9">
        <f t="shared" ca="1" si="4"/>
        <v>2</v>
      </c>
      <c r="C155" s="141">
        <f t="shared" ca="1" si="5"/>
        <v>58</v>
      </c>
    </row>
    <row r="156" spans="1:3" ht="13.5" thickBot="1">
      <c r="A156" s="3">
        <v>1023652208</v>
      </c>
      <c r="B156" s="9">
        <f t="shared" ca="1" si="4"/>
        <v>3</v>
      </c>
      <c r="C156" s="141">
        <f t="shared" ca="1" si="5"/>
        <v>87</v>
      </c>
    </row>
    <row r="157" spans="1:3" ht="13.5" thickBot="1">
      <c r="A157" s="3">
        <f>A156+13</f>
        <v>1023652221</v>
      </c>
      <c r="B157" s="9">
        <f t="shared" ca="1" si="4"/>
        <v>3</v>
      </c>
      <c r="C157" s="141">
        <f t="shared" ca="1" si="5"/>
        <v>87</v>
      </c>
    </row>
    <row r="158" spans="1:3" ht="13.5" thickBot="1">
      <c r="A158" s="3">
        <v>1023652209</v>
      </c>
      <c r="B158" s="9">
        <f t="shared" ca="1" si="4"/>
        <v>2</v>
      </c>
      <c r="C158" s="141">
        <f t="shared" ca="1" si="5"/>
        <v>58</v>
      </c>
    </row>
    <row r="159" spans="1:3" ht="13.5" thickBot="1">
      <c r="A159" s="3">
        <f>A158+13</f>
        <v>1023652222</v>
      </c>
      <c r="B159" s="9">
        <f t="shared" ca="1" si="4"/>
        <v>1</v>
      </c>
      <c r="C159" s="141">
        <f t="shared" ca="1" si="5"/>
        <v>29</v>
      </c>
    </row>
    <row r="160" spans="1:3" ht="13.5" thickBot="1">
      <c r="A160" s="3">
        <v>1023652210</v>
      </c>
      <c r="B160" s="9">
        <f t="shared" ca="1" si="4"/>
        <v>1</v>
      </c>
      <c r="C160" s="141">
        <f t="shared" ca="1" si="5"/>
        <v>29</v>
      </c>
    </row>
    <row r="161" spans="1:3" ht="13.5" thickBot="1">
      <c r="A161" s="3">
        <f>A160+13</f>
        <v>1023652223</v>
      </c>
      <c r="B161" s="9">
        <f t="shared" ca="1" si="4"/>
        <v>6</v>
      </c>
      <c r="C161" s="141">
        <f t="shared" ca="1" si="5"/>
        <v>174</v>
      </c>
    </row>
    <row r="162" spans="1:3" ht="13.5" thickBot="1">
      <c r="A162" s="3">
        <v>1023652211</v>
      </c>
      <c r="B162" s="9">
        <f t="shared" ca="1" si="4"/>
        <v>3</v>
      </c>
      <c r="C162" s="141">
        <f t="shared" ca="1" si="5"/>
        <v>87</v>
      </c>
    </row>
    <row r="163" spans="1:3" ht="13.5" thickBot="1">
      <c r="A163" s="3">
        <f>A162+13</f>
        <v>1023652224</v>
      </c>
      <c r="B163" s="9">
        <f t="shared" ca="1" si="4"/>
        <v>4</v>
      </c>
      <c r="C163" s="141">
        <f t="shared" ca="1" si="5"/>
        <v>116</v>
      </c>
    </row>
    <row r="164" spans="1:3" ht="13.5" thickBot="1">
      <c r="A164" s="3">
        <v>1023652212</v>
      </c>
      <c r="B164" s="9">
        <f t="shared" ca="1" si="4"/>
        <v>4</v>
      </c>
      <c r="C164" s="141">
        <f t="shared" ca="1" si="5"/>
        <v>116</v>
      </c>
    </row>
    <row r="165" spans="1:3" ht="13.5" thickBot="1">
      <c r="A165" s="3">
        <f>A164+13</f>
        <v>1023652225</v>
      </c>
      <c r="B165" s="9">
        <f t="shared" ca="1" si="4"/>
        <v>4</v>
      </c>
      <c r="C165" s="141">
        <f t="shared" ca="1" si="5"/>
        <v>116</v>
      </c>
    </row>
    <row r="166" spans="1:3" ht="13.5" thickBot="1">
      <c r="A166" s="3">
        <v>1023652213</v>
      </c>
      <c r="B166" s="9">
        <f t="shared" ca="1" si="4"/>
        <v>5</v>
      </c>
      <c r="C166" s="141">
        <f t="shared" ca="1" si="5"/>
        <v>145</v>
      </c>
    </row>
    <row r="167" spans="1:3" ht="13.5" thickBot="1">
      <c r="A167" s="3">
        <f>A166+13</f>
        <v>1023652226</v>
      </c>
      <c r="B167" s="9">
        <f t="shared" ca="1" si="4"/>
        <v>2</v>
      </c>
      <c r="C167" s="141">
        <f t="shared" ca="1" si="5"/>
        <v>58</v>
      </c>
    </row>
    <row r="168" spans="1:3" ht="13.5" thickBot="1">
      <c r="A168" s="3">
        <v>1023652214</v>
      </c>
      <c r="B168" s="9">
        <f t="shared" ca="1" si="4"/>
        <v>1</v>
      </c>
      <c r="C168" s="141">
        <f t="shared" ca="1" si="5"/>
        <v>29</v>
      </c>
    </row>
    <row r="169" spans="1:3" ht="13.5" thickBot="1">
      <c r="A169" s="3">
        <f>A168+13</f>
        <v>1023652227</v>
      </c>
      <c r="B169" s="9">
        <f t="shared" ca="1" si="4"/>
        <v>1</v>
      </c>
      <c r="C169" s="141">
        <f t="shared" ca="1" si="5"/>
        <v>29</v>
      </c>
    </row>
    <row r="170" spans="1:3" ht="13.5" thickBot="1">
      <c r="A170" s="3">
        <v>1023652215</v>
      </c>
      <c r="B170" s="9">
        <f t="shared" ca="1" si="4"/>
        <v>4</v>
      </c>
      <c r="C170" s="141">
        <f t="shared" ca="1" si="5"/>
        <v>116</v>
      </c>
    </row>
    <row r="171" spans="1:3" ht="13.5" thickBot="1">
      <c r="A171" s="3">
        <f>A170+13</f>
        <v>1023652228</v>
      </c>
      <c r="B171" s="9">
        <f t="shared" ca="1" si="4"/>
        <v>6</v>
      </c>
      <c r="C171" s="141">
        <f t="shared" ca="1" si="5"/>
        <v>174</v>
      </c>
    </row>
    <row r="172" spans="1:3" ht="13.5" thickBot="1">
      <c r="A172" s="3">
        <v>1023652216</v>
      </c>
      <c r="B172" s="9">
        <f t="shared" ca="1" si="4"/>
        <v>1</v>
      </c>
      <c r="C172" s="141">
        <f t="shared" ca="1" si="5"/>
        <v>29</v>
      </c>
    </row>
    <row r="173" spans="1:3" ht="13.5" thickBot="1">
      <c r="A173" s="3">
        <f>A172+13</f>
        <v>1023652229</v>
      </c>
      <c r="B173" s="9">
        <f t="shared" ca="1" si="4"/>
        <v>2</v>
      </c>
      <c r="C173" s="141">
        <f t="shared" ca="1" si="5"/>
        <v>58</v>
      </c>
    </row>
    <row r="174" spans="1:3" ht="13.5" thickBot="1">
      <c r="A174" s="3">
        <v>1023652217</v>
      </c>
      <c r="B174" s="9">
        <f t="shared" ca="1" si="4"/>
        <v>0</v>
      </c>
      <c r="C174" s="141">
        <f t="shared" ca="1" si="5"/>
        <v>0</v>
      </c>
    </row>
    <row r="175" spans="1:3" ht="13.5" thickBot="1">
      <c r="A175" s="3">
        <f>A174+13</f>
        <v>1023652230</v>
      </c>
      <c r="B175" s="9">
        <f t="shared" ca="1" si="4"/>
        <v>1</v>
      </c>
      <c r="C175" s="141">
        <f t="shared" ca="1" si="5"/>
        <v>29</v>
      </c>
    </row>
    <row r="176" spans="1:3" ht="13.5" thickBot="1">
      <c r="A176" s="3">
        <v>1023652218</v>
      </c>
      <c r="B176" s="9">
        <f t="shared" ca="1" si="4"/>
        <v>1</v>
      </c>
      <c r="C176" s="141">
        <f t="shared" ca="1" si="5"/>
        <v>29</v>
      </c>
    </row>
    <row r="177" spans="1:3" ht="13.5" thickBot="1">
      <c r="A177" s="3">
        <f>A176+13</f>
        <v>1023652231</v>
      </c>
      <c r="B177" s="9">
        <f t="shared" ca="1" si="4"/>
        <v>3</v>
      </c>
      <c r="C177" s="141">
        <f t="shared" ca="1" si="5"/>
        <v>87</v>
      </c>
    </row>
    <row r="178" spans="1:3" ht="13.5" thickBot="1">
      <c r="A178" s="3">
        <v>1023652219</v>
      </c>
      <c r="B178" s="9">
        <f t="shared" ca="1" si="4"/>
        <v>5</v>
      </c>
      <c r="C178" s="141">
        <f t="shared" ca="1" si="5"/>
        <v>145</v>
      </c>
    </row>
    <row r="179" spans="1:3" ht="13.5" thickBot="1">
      <c r="A179" s="3">
        <f>A178+13</f>
        <v>1023652232</v>
      </c>
      <c r="B179" s="9">
        <f t="shared" ca="1" si="4"/>
        <v>3</v>
      </c>
      <c r="C179" s="141">
        <f t="shared" ca="1" si="5"/>
        <v>87</v>
      </c>
    </row>
    <row r="180" spans="1:3" ht="13.5" thickBot="1">
      <c r="A180" s="3">
        <v>1023652220</v>
      </c>
      <c r="B180" s="9">
        <f t="shared" ca="1" si="4"/>
        <v>1</v>
      </c>
      <c r="C180" s="141">
        <f t="shared" ca="1" si="5"/>
        <v>29</v>
      </c>
    </row>
    <row r="181" spans="1:3" ht="13.5" thickBot="1">
      <c r="A181" s="3">
        <f>A180+13</f>
        <v>1023652233</v>
      </c>
      <c r="B181" s="9">
        <f t="shared" ca="1" si="4"/>
        <v>3</v>
      </c>
      <c r="C181" s="141">
        <f t="shared" ca="1" si="5"/>
        <v>87</v>
      </c>
    </row>
    <row r="182" spans="1:3" ht="13.5" thickBot="1">
      <c r="A182" s="3">
        <v>1023652221</v>
      </c>
      <c r="B182" s="9">
        <f t="shared" ca="1" si="4"/>
        <v>3</v>
      </c>
      <c r="C182" s="141">
        <f t="shared" ca="1" si="5"/>
        <v>87</v>
      </c>
    </row>
    <row r="183" spans="1:3" ht="13.5" thickBot="1">
      <c r="A183" s="3">
        <f>A182+13</f>
        <v>1023652234</v>
      </c>
      <c r="B183" s="9">
        <f t="shared" ca="1" si="4"/>
        <v>5</v>
      </c>
      <c r="C183" s="141">
        <f t="shared" ca="1" si="5"/>
        <v>145</v>
      </c>
    </row>
    <row r="184" spans="1:3" ht="13.5" thickBot="1">
      <c r="A184" s="3">
        <v>1023652222</v>
      </c>
      <c r="B184" s="9">
        <f t="shared" ca="1" si="4"/>
        <v>2</v>
      </c>
      <c r="C184" s="141">
        <f t="shared" ca="1" si="5"/>
        <v>58</v>
      </c>
    </row>
    <row r="185" spans="1:3" ht="13.5" thickBot="1">
      <c r="A185" s="3">
        <f>A184+13</f>
        <v>1023652235</v>
      </c>
      <c r="B185" s="9">
        <f t="shared" ca="1" si="4"/>
        <v>4</v>
      </c>
      <c r="C185" s="141">
        <f t="shared" ca="1" si="5"/>
        <v>116</v>
      </c>
    </row>
    <row r="186" spans="1:3" ht="13.5" thickBot="1">
      <c r="A186" s="3">
        <v>1023652223</v>
      </c>
      <c r="B186" s="9">
        <f t="shared" ca="1" si="4"/>
        <v>4</v>
      </c>
      <c r="C186" s="141">
        <f t="shared" ca="1" si="5"/>
        <v>116</v>
      </c>
    </row>
    <row r="187" spans="1:3" ht="13.5" thickBot="1">
      <c r="A187" s="3">
        <f>A186+13</f>
        <v>1023652236</v>
      </c>
      <c r="B187" s="9">
        <f t="shared" ca="1" si="4"/>
        <v>1</v>
      </c>
      <c r="C187" s="141">
        <f t="shared" ca="1" si="5"/>
        <v>29</v>
      </c>
    </row>
    <row r="188" spans="1:3" ht="13.5" thickBot="1">
      <c r="A188" s="3">
        <v>1023652224</v>
      </c>
      <c r="B188" s="9">
        <f t="shared" ca="1" si="4"/>
        <v>2</v>
      </c>
      <c r="C188" s="141">
        <f t="shared" ca="1" si="5"/>
        <v>58</v>
      </c>
    </row>
    <row r="189" spans="1:3" ht="13.5" thickBot="1">
      <c r="A189" s="3">
        <f>A188+13</f>
        <v>1023652237</v>
      </c>
      <c r="B189" s="9">
        <f t="shared" ca="1" si="4"/>
        <v>0</v>
      </c>
      <c r="C189" s="141">
        <f t="shared" ca="1" si="5"/>
        <v>0</v>
      </c>
    </row>
    <row r="190" spans="1:3" ht="13.5" thickBot="1">
      <c r="A190" s="3">
        <v>1023652225</v>
      </c>
      <c r="B190" s="9">
        <f t="shared" ca="1" si="4"/>
        <v>4</v>
      </c>
      <c r="C190" s="141">
        <f t="shared" ca="1" si="5"/>
        <v>116</v>
      </c>
    </row>
    <row r="191" spans="1:3" ht="13.5" thickBot="1">
      <c r="A191" s="3">
        <f>A190+13</f>
        <v>1023652238</v>
      </c>
      <c r="B191" s="9">
        <f t="shared" ca="1" si="4"/>
        <v>3</v>
      </c>
      <c r="C191" s="141">
        <f t="shared" ca="1" si="5"/>
        <v>87</v>
      </c>
    </row>
    <row r="192" spans="1:3" ht="13.5" thickBot="1">
      <c r="A192" s="3">
        <v>1023652226</v>
      </c>
      <c r="B192" s="9">
        <f t="shared" ca="1" si="4"/>
        <v>1</v>
      </c>
      <c r="C192" s="141">
        <f t="shared" ca="1" si="5"/>
        <v>29</v>
      </c>
    </row>
    <row r="193" spans="1:3" ht="13.5" thickBot="1">
      <c r="A193" s="3">
        <f>A192+13</f>
        <v>1023652239</v>
      </c>
      <c r="B193" s="9">
        <f t="shared" ca="1" si="4"/>
        <v>0</v>
      </c>
      <c r="C193" s="141">
        <f t="shared" ca="1" si="5"/>
        <v>0</v>
      </c>
    </row>
    <row r="194" spans="1:3" ht="13.5" thickBot="1">
      <c r="A194" s="3">
        <v>1023652227</v>
      </c>
      <c r="B194" s="9">
        <f t="shared" ca="1" si="4"/>
        <v>1</v>
      </c>
      <c r="C194" s="141">
        <f t="shared" ca="1" si="5"/>
        <v>29</v>
      </c>
    </row>
    <row r="195" spans="1:3" ht="13.5" thickBot="1">
      <c r="A195" s="3">
        <f>A194+13</f>
        <v>1023652240</v>
      </c>
      <c r="B195" s="9">
        <f t="shared" ca="1" si="4"/>
        <v>3</v>
      </c>
      <c r="C195" s="141">
        <f t="shared" ca="1" si="5"/>
        <v>87</v>
      </c>
    </row>
    <row r="196" spans="1:3" ht="13.5" thickBot="1">
      <c r="A196" s="3">
        <v>1023652228</v>
      </c>
      <c r="B196" s="9">
        <f t="shared" ca="1" si="4"/>
        <v>4</v>
      </c>
      <c r="C196" s="141">
        <f t="shared" ca="1" si="5"/>
        <v>116</v>
      </c>
    </row>
    <row r="197" spans="1:3" ht="13.5" thickBot="1">
      <c r="A197" s="3">
        <f>A196+13</f>
        <v>1023652241</v>
      </c>
      <c r="B197" s="9">
        <f t="shared" ca="1" si="4"/>
        <v>5</v>
      </c>
      <c r="C197" s="141">
        <f t="shared" ca="1" si="5"/>
        <v>145</v>
      </c>
    </row>
    <row r="198" spans="1:3" ht="13.5" thickBot="1">
      <c r="A198" s="3">
        <v>1023652229</v>
      </c>
      <c r="B198" s="9">
        <f t="shared" ca="1" si="4"/>
        <v>5</v>
      </c>
      <c r="C198" s="141">
        <f t="shared" ca="1" si="5"/>
        <v>145</v>
      </c>
    </row>
    <row r="199" spans="1:3" ht="13.5" thickBot="1">
      <c r="A199" s="3">
        <f>A198+13</f>
        <v>1023652242</v>
      </c>
      <c r="B199" s="9">
        <f t="shared" ca="1" si="4"/>
        <v>0</v>
      </c>
      <c r="C199" s="141">
        <f t="shared" ca="1" si="5"/>
        <v>0</v>
      </c>
    </row>
    <row r="200" spans="1:3">
      <c r="A200" s="3">
        <v>1023652230</v>
      </c>
      <c r="B200" s="9">
        <f t="shared" ca="1" si="4"/>
        <v>2</v>
      </c>
      <c r="C200" s="141">
        <f t="shared" ca="1" si="5"/>
        <v>58</v>
      </c>
    </row>
  </sheetData>
  <customSheetViews>
    <customSheetView guid="{F9B480CE-077C-416E-ACF9-56227F746F4A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7"/>
  <sheetViews>
    <sheetView workbookViewId="0">
      <selection activeCell="D12" sqref="D12"/>
    </sheetView>
  </sheetViews>
  <sheetFormatPr defaultRowHeight="12.75"/>
  <cols>
    <col min="1" max="1" width="14.7109375" style="24" bestFit="1" customWidth="1"/>
    <col min="2" max="2" width="10.140625" style="24" bestFit="1" customWidth="1"/>
    <col min="3" max="3" width="13.28515625" style="24" bestFit="1" customWidth="1"/>
    <col min="4" max="4" width="12.28515625" style="24" bestFit="1" customWidth="1"/>
    <col min="5" max="16384" width="9.140625" style="24"/>
  </cols>
  <sheetData>
    <row r="1" spans="1:4" ht="13.5" thickBot="1">
      <c r="A1" s="65" t="s">
        <v>110</v>
      </c>
      <c r="B1" s="66">
        <f ca="1">TODAY()</f>
        <v>45919</v>
      </c>
    </row>
    <row r="3" spans="1:4">
      <c r="B3" s="25" t="s">
        <v>53</v>
      </c>
      <c r="C3" s="25" t="s">
        <v>190</v>
      </c>
      <c r="D3" s="25" t="s">
        <v>191</v>
      </c>
    </row>
    <row r="4" spans="1:4">
      <c r="B4" s="26" t="s">
        <v>54</v>
      </c>
      <c r="C4" s="27">
        <f ca="1">RAND()*1111+DATE(YEAR(TODAY()),1,1)</f>
        <v>46657.050656091356</v>
      </c>
      <c r="D4" s="28">
        <f ca="1">$B$1 - C4</f>
        <v>-738.05065609135636</v>
      </c>
    </row>
    <row r="5" spans="1:4">
      <c r="B5" s="26" t="s">
        <v>55</v>
      </c>
      <c r="C5" s="27">
        <f t="shared" ref="C5:C27" ca="1" si="0">RAND()*1111+DATE(YEAR(TODAY()),1,1)</f>
        <v>46685.924458919209</v>
      </c>
      <c r="D5" s="28">
        <f t="shared" ref="D5:D27" ca="1" si="1">$B$1 - C5</f>
        <v>-766.92445891920943</v>
      </c>
    </row>
    <row r="6" spans="1:4">
      <c r="B6" s="26" t="s">
        <v>56</v>
      </c>
      <c r="C6" s="27">
        <f t="shared" ca="1" si="0"/>
        <v>46021.351416611717</v>
      </c>
      <c r="D6" s="28">
        <f t="shared" ca="1" si="1"/>
        <v>-102.35141661171656</v>
      </c>
    </row>
    <row r="7" spans="1:4">
      <c r="B7" s="26" t="s">
        <v>57</v>
      </c>
      <c r="C7" s="27">
        <f t="shared" ca="1" si="0"/>
        <v>46388.201911323158</v>
      </c>
      <c r="D7" s="28">
        <f t="shared" ca="1" si="1"/>
        <v>-469.20191132315813</v>
      </c>
    </row>
    <row r="8" spans="1:4">
      <c r="B8" s="26" t="s">
        <v>58</v>
      </c>
      <c r="C8" s="27">
        <f t="shared" ca="1" si="0"/>
        <v>45951.630399592301</v>
      </c>
      <c r="D8" s="28">
        <f t="shared" ca="1" si="1"/>
        <v>-32.630399592300819</v>
      </c>
    </row>
    <row r="9" spans="1:4">
      <c r="B9" s="26" t="s">
        <v>59</v>
      </c>
      <c r="C9" s="27">
        <f t="shared" ca="1" si="0"/>
        <v>45810.035334827349</v>
      </c>
      <c r="D9" s="28">
        <f t="shared" ca="1" si="1"/>
        <v>108.96466517265071</v>
      </c>
    </row>
    <row r="10" spans="1:4">
      <c r="B10" s="26" t="s">
        <v>60</v>
      </c>
      <c r="C10" s="27">
        <f t="shared" ca="1" si="0"/>
        <v>46071.908302394317</v>
      </c>
      <c r="D10" s="28">
        <f t="shared" ca="1" si="1"/>
        <v>-152.90830239431671</v>
      </c>
    </row>
    <row r="11" spans="1:4">
      <c r="B11" s="26" t="s">
        <v>61</v>
      </c>
      <c r="C11" s="27">
        <f t="shared" ca="1" si="0"/>
        <v>45716.352874104632</v>
      </c>
      <c r="D11" s="28">
        <f t="shared" ca="1" si="1"/>
        <v>202.64712589536794</v>
      </c>
    </row>
    <row r="12" spans="1:4">
      <c r="B12" s="26" t="s">
        <v>62</v>
      </c>
      <c r="C12" s="27">
        <f t="shared" ca="1" si="0"/>
        <v>46112.960258123232</v>
      </c>
      <c r="D12" s="28">
        <f t="shared" ca="1" si="1"/>
        <v>-193.96025812323205</v>
      </c>
    </row>
    <row r="13" spans="1:4">
      <c r="B13" s="26" t="s">
        <v>63</v>
      </c>
      <c r="C13" s="27">
        <f t="shared" ca="1" si="0"/>
        <v>46585.516343068848</v>
      </c>
      <c r="D13" s="28">
        <f t="shared" ca="1" si="1"/>
        <v>-666.51634306884807</v>
      </c>
    </row>
    <row r="14" spans="1:4">
      <c r="B14" s="26" t="s">
        <v>64</v>
      </c>
      <c r="C14" s="27">
        <f t="shared" ca="1" si="0"/>
        <v>46338.67971659531</v>
      </c>
      <c r="D14" s="28">
        <f t="shared" ca="1" si="1"/>
        <v>-419.67971659531031</v>
      </c>
    </row>
    <row r="15" spans="1:4">
      <c r="B15" s="26" t="s">
        <v>97</v>
      </c>
      <c r="C15" s="27">
        <f t="shared" ca="1" si="0"/>
        <v>46510.850505278024</v>
      </c>
      <c r="D15" s="28">
        <f t="shared" ca="1" si="1"/>
        <v>-591.85050527802377</v>
      </c>
    </row>
    <row r="16" spans="1:4">
      <c r="B16" s="26" t="s">
        <v>98</v>
      </c>
      <c r="C16" s="27">
        <f t="shared" ca="1" si="0"/>
        <v>46255.155414345318</v>
      </c>
      <c r="D16" s="28">
        <f t="shared" ca="1" si="1"/>
        <v>-336.15541434531769</v>
      </c>
    </row>
    <row r="17" spans="2:4">
      <c r="B17" s="26" t="s">
        <v>99</v>
      </c>
      <c r="C17" s="27">
        <f t="shared" ca="1" si="0"/>
        <v>46308.581103165408</v>
      </c>
      <c r="D17" s="28">
        <f t="shared" ca="1" si="1"/>
        <v>-389.58110316540842</v>
      </c>
    </row>
    <row r="18" spans="2:4">
      <c r="B18" s="26" t="s">
        <v>100</v>
      </c>
      <c r="C18" s="27">
        <f t="shared" ca="1" si="0"/>
        <v>46185.783131014963</v>
      </c>
      <c r="D18" s="28">
        <f t="shared" ca="1" si="1"/>
        <v>-266.78313101496315</v>
      </c>
    </row>
    <row r="19" spans="2:4">
      <c r="B19" s="26" t="s">
        <v>101</v>
      </c>
      <c r="C19" s="27">
        <f t="shared" ca="1" si="0"/>
        <v>45789.339102283891</v>
      </c>
      <c r="D19" s="28">
        <f t="shared" ca="1" si="1"/>
        <v>129.66089771610859</v>
      </c>
    </row>
    <row r="20" spans="2:4">
      <c r="B20" s="26" t="s">
        <v>102</v>
      </c>
      <c r="C20" s="27">
        <f t="shared" ca="1" si="0"/>
        <v>46431.83897762547</v>
      </c>
      <c r="D20" s="28">
        <f t="shared" ca="1" si="1"/>
        <v>-512.83897762546985</v>
      </c>
    </row>
    <row r="21" spans="2:4">
      <c r="B21" s="26" t="s">
        <v>103</v>
      </c>
      <c r="C21" s="27">
        <f t="shared" ca="1" si="0"/>
        <v>46489.483988507542</v>
      </c>
      <c r="D21" s="28">
        <f t="shared" ca="1" si="1"/>
        <v>-570.48398850754165</v>
      </c>
    </row>
    <row r="22" spans="2:4">
      <c r="B22" s="26" t="s">
        <v>104</v>
      </c>
      <c r="C22" s="27">
        <f t="shared" ca="1" si="0"/>
        <v>46472.493813226982</v>
      </c>
      <c r="D22" s="28">
        <f t="shared" ca="1" si="1"/>
        <v>-553.49381322698173</v>
      </c>
    </row>
    <row r="23" spans="2:4">
      <c r="B23" s="26" t="s">
        <v>105</v>
      </c>
      <c r="C23" s="27">
        <f t="shared" ca="1" si="0"/>
        <v>46405.524967629695</v>
      </c>
      <c r="D23" s="28">
        <f t="shared" ca="1" si="1"/>
        <v>-486.52496762969531</v>
      </c>
    </row>
    <row r="24" spans="2:4">
      <c r="B24" s="26" t="s">
        <v>106</v>
      </c>
      <c r="C24" s="27">
        <f t="shared" ca="1" si="0"/>
        <v>45874.879181596298</v>
      </c>
      <c r="D24" s="28">
        <f t="shared" ca="1" si="1"/>
        <v>44.120818403702287</v>
      </c>
    </row>
    <row r="25" spans="2:4">
      <c r="B25" s="26" t="s">
        <v>107</v>
      </c>
      <c r="C25" s="27">
        <f t="shared" ca="1" si="0"/>
        <v>46303.354504252464</v>
      </c>
      <c r="D25" s="28">
        <f t="shared" ca="1" si="1"/>
        <v>-384.35450425246381</v>
      </c>
    </row>
    <row r="26" spans="2:4">
      <c r="B26" s="26" t="s">
        <v>108</v>
      </c>
      <c r="C26" s="27">
        <f t="shared" ca="1" si="0"/>
        <v>46031.447191220657</v>
      </c>
      <c r="D26" s="28">
        <f t="shared" ca="1" si="1"/>
        <v>-112.44719122065726</v>
      </c>
    </row>
    <row r="27" spans="2:4">
      <c r="B27" s="26" t="s">
        <v>109</v>
      </c>
      <c r="C27" s="27">
        <f t="shared" ca="1" si="0"/>
        <v>46199.096706901844</v>
      </c>
      <c r="D27" s="28">
        <f t="shared" ca="1" si="1"/>
        <v>-280.0967069018443</v>
      </c>
    </row>
  </sheetData>
  <customSheetViews>
    <customSheetView guid="{F9B480CE-077C-416E-ACF9-56227F746F4A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O17" sqref="O17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29" t="s">
        <v>16</v>
      </c>
      <c r="B1" s="130"/>
      <c r="C1" s="130"/>
      <c r="D1" s="12" t="s">
        <v>17</v>
      </c>
      <c r="E1" s="12" t="s">
        <v>18</v>
      </c>
      <c r="F1" s="130" t="s">
        <v>19</v>
      </c>
      <c r="G1" s="130"/>
      <c r="H1" s="130"/>
      <c r="I1" s="130"/>
      <c r="J1" s="130"/>
      <c r="K1" s="131"/>
      <c r="L1" s="12" t="s">
        <v>85</v>
      </c>
    </row>
    <row r="2" spans="1:13" ht="15" customHeight="1" thickBot="1">
      <c r="A2" s="90" t="s">
        <v>192</v>
      </c>
      <c r="B2" s="18" t="s">
        <v>29</v>
      </c>
      <c r="C2" s="18"/>
      <c r="D2" s="37">
        <v>34.5</v>
      </c>
      <c r="E2" s="18">
        <f ca="1">ROUND(RAND()*6+1,0)</f>
        <v>6</v>
      </c>
      <c r="F2" s="17" t="s">
        <v>20</v>
      </c>
      <c r="G2" s="18">
        <v>15</v>
      </c>
      <c r="H2" s="18" t="s">
        <v>21</v>
      </c>
      <c r="I2" s="18">
        <f ca="1">YEAR(TODAY())</f>
        <v>2025</v>
      </c>
      <c r="J2" s="19">
        <v>0.84760416666666671</v>
      </c>
      <c r="K2" s="18" t="s">
        <v>22</v>
      </c>
      <c r="L2" s="38">
        <f ca="1">IF(E2&gt;2,17,10)</f>
        <v>17</v>
      </c>
    </row>
    <row r="3" spans="1:13" ht="15" customHeight="1" thickBot="1">
      <c r="A3" s="91" t="s">
        <v>193</v>
      </c>
      <c r="B3" s="14" t="s">
        <v>30</v>
      </c>
      <c r="C3" s="14"/>
      <c r="D3" s="39">
        <v>34.5</v>
      </c>
      <c r="E3" s="14">
        <f t="shared" ref="E3:E26" ca="1" si="0">ROUND(RAND()*6+1,0)</f>
        <v>2</v>
      </c>
      <c r="F3" s="20" t="s">
        <v>23</v>
      </c>
      <c r="G3" s="14">
        <v>16</v>
      </c>
      <c r="H3" s="14" t="s">
        <v>21</v>
      </c>
      <c r="I3" s="14">
        <f t="shared" ref="I3:I26" ca="1" si="1">YEAR(TODAY())</f>
        <v>2025</v>
      </c>
      <c r="J3" s="15">
        <v>0.43560185185185185</v>
      </c>
      <c r="K3" s="14" t="s">
        <v>22</v>
      </c>
      <c r="L3" s="38">
        <f t="shared" ref="L3:L26" ca="1" si="2">IF(E3&gt;2,17,10)</f>
        <v>10</v>
      </c>
    </row>
    <row r="4" spans="1:13" ht="15" customHeight="1" thickBot="1">
      <c r="A4" s="91" t="s">
        <v>194</v>
      </c>
      <c r="B4" s="14" t="s">
        <v>31</v>
      </c>
      <c r="C4" s="14"/>
      <c r="D4" s="39">
        <v>34.5</v>
      </c>
      <c r="E4" s="14">
        <f t="shared" ca="1" si="0"/>
        <v>5</v>
      </c>
      <c r="F4" s="20" t="s">
        <v>23</v>
      </c>
      <c r="G4" s="14">
        <v>16</v>
      </c>
      <c r="H4" s="14" t="s">
        <v>21</v>
      </c>
      <c r="I4" s="14">
        <f t="shared" ca="1" si="1"/>
        <v>2025</v>
      </c>
      <c r="J4" s="15">
        <v>0.54060185185185183</v>
      </c>
      <c r="K4" s="14" t="s">
        <v>22</v>
      </c>
      <c r="L4" s="38">
        <f t="shared" ca="1" si="2"/>
        <v>17</v>
      </c>
    </row>
    <row r="5" spans="1:13" ht="15" customHeight="1" thickBot="1">
      <c r="A5" s="91" t="s">
        <v>195</v>
      </c>
      <c r="B5" s="14" t="s">
        <v>32</v>
      </c>
      <c r="C5" s="14"/>
      <c r="D5" s="39">
        <v>34.5</v>
      </c>
      <c r="E5" s="14">
        <f t="shared" ca="1" si="0"/>
        <v>6</v>
      </c>
      <c r="F5" s="20" t="s">
        <v>23</v>
      </c>
      <c r="G5" s="14">
        <v>16</v>
      </c>
      <c r="H5" s="14" t="s">
        <v>21</v>
      </c>
      <c r="I5" s="14">
        <f t="shared" ca="1" si="1"/>
        <v>2025</v>
      </c>
      <c r="J5" s="15">
        <v>0.57446759259259261</v>
      </c>
      <c r="K5" s="14" t="s">
        <v>22</v>
      </c>
      <c r="L5" s="38">
        <f t="shared" ca="1" si="2"/>
        <v>17</v>
      </c>
    </row>
    <row r="6" spans="1:13" ht="15" customHeight="1" thickBot="1">
      <c r="A6" s="91" t="s">
        <v>196</v>
      </c>
      <c r="B6" s="14" t="s">
        <v>33</v>
      </c>
      <c r="C6" s="14"/>
      <c r="D6" s="39">
        <v>34.5</v>
      </c>
      <c r="E6" s="14">
        <f t="shared" ca="1" si="0"/>
        <v>2</v>
      </c>
      <c r="F6" s="20" t="s">
        <v>23</v>
      </c>
      <c r="G6" s="14">
        <v>16</v>
      </c>
      <c r="H6" s="14" t="s">
        <v>21</v>
      </c>
      <c r="I6" s="14">
        <f t="shared" ca="1" si="1"/>
        <v>2025</v>
      </c>
      <c r="J6" s="15">
        <v>0.92752314814814818</v>
      </c>
      <c r="K6" s="14" t="s">
        <v>22</v>
      </c>
      <c r="L6" s="38">
        <f t="shared" ca="1" si="2"/>
        <v>10</v>
      </c>
    </row>
    <row r="7" spans="1:13" ht="15" customHeight="1" thickBot="1">
      <c r="A7" s="91" t="s">
        <v>197</v>
      </c>
      <c r="B7" s="14" t="s">
        <v>34</v>
      </c>
      <c r="C7" s="14"/>
      <c r="D7" s="39">
        <v>34.5</v>
      </c>
      <c r="E7" s="14">
        <f t="shared" ca="1" si="0"/>
        <v>4</v>
      </c>
      <c r="F7" s="20" t="s">
        <v>24</v>
      </c>
      <c r="G7" s="14">
        <v>17</v>
      </c>
      <c r="H7" s="14" t="s">
        <v>21</v>
      </c>
      <c r="I7" s="14">
        <f t="shared" ca="1" si="1"/>
        <v>2025</v>
      </c>
      <c r="J7" s="15">
        <v>0.5131134259259259</v>
      </c>
      <c r="K7" s="14" t="s">
        <v>22</v>
      </c>
      <c r="L7" s="38">
        <f t="shared" ca="1" si="2"/>
        <v>17</v>
      </c>
    </row>
    <row r="8" spans="1:13" ht="15" customHeight="1" thickBot="1">
      <c r="A8" s="91" t="s">
        <v>198</v>
      </c>
      <c r="B8" s="14" t="s">
        <v>35</v>
      </c>
      <c r="C8" s="14"/>
      <c r="D8" s="39">
        <v>34.5</v>
      </c>
      <c r="E8" s="14">
        <f t="shared" ca="1" si="0"/>
        <v>5</v>
      </c>
      <c r="F8" s="20" t="s">
        <v>24</v>
      </c>
      <c r="G8" s="14">
        <v>17</v>
      </c>
      <c r="H8" s="14" t="s">
        <v>21</v>
      </c>
      <c r="I8" s="14">
        <f t="shared" ca="1" si="1"/>
        <v>2025</v>
      </c>
      <c r="J8" s="15">
        <v>0.52156250000000004</v>
      </c>
      <c r="K8" s="14" t="s">
        <v>22</v>
      </c>
      <c r="L8" s="38">
        <f t="shared" ca="1" si="2"/>
        <v>17</v>
      </c>
    </row>
    <row r="9" spans="1:13" ht="15" customHeight="1" thickBot="1">
      <c r="A9" s="91" t="s">
        <v>199</v>
      </c>
      <c r="B9" s="14" t="s">
        <v>36</v>
      </c>
      <c r="C9" s="14"/>
      <c r="D9" s="39">
        <v>34.5</v>
      </c>
      <c r="E9" s="14">
        <f t="shared" ca="1" si="0"/>
        <v>5</v>
      </c>
      <c r="F9" s="20" t="s">
        <v>24</v>
      </c>
      <c r="G9" s="14">
        <v>17</v>
      </c>
      <c r="H9" s="14" t="s">
        <v>21</v>
      </c>
      <c r="I9" s="14">
        <f t="shared" ca="1" si="1"/>
        <v>2025</v>
      </c>
      <c r="J9" s="15">
        <v>0.59075231481481483</v>
      </c>
      <c r="K9" s="14" t="s">
        <v>22</v>
      </c>
      <c r="L9" s="38">
        <f t="shared" ca="1" si="2"/>
        <v>17</v>
      </c>
    </row>
    <row r="10" spans="1:13" ht="15" customHeight="1" thickBot="1">
      <c r="A10" s="91" t="s">
        <v>200</v>
      </c>
      <c r="B10" s="14" t="s">
        <v>37</v>
      </c>
      <c r="C10" s="14"/>
      <c r="D10" s="39">
        <v>34.5</v>
      </c>
      <c r="E10" s="14">
        <f t="shared" ca="1" si="0"/>
        <v>6</v>
      </c>
      <c r="F10" s="20" t="s">
        <v>25</v>
      </c>
      <c r="G10" s="14">
        <v>18</v>
      </c>
      <c r="H10" s="14" t="s">
        <v>21</v>
      </c>
      <c r="I10" s="14">
        <f t="shared" ca="1" si="1"/>
        <v>2025</v>
      </c>
      <c r="J10" s="15">
        <v>0.66196759259259264</v>
      </c>
      <c r="K10" s="14" t="s">
        <v>22</v>
      </c>
      <c r="L10" s="38">
        <f t="shared" ca="1" si="2"/>
        <v>17</v>
      </c>
    </row>
    <row r="11" spans="1:13" ht="15" customHeight="1" thickBot="1">
      <c r="A11" s="91" t="s">
        <v>201</v>
      </c>
      <c r="B11" s="14" t="s">
        <v>38</v>
      </c>
      <c r="C11" s="14"/>
      <c r="D11" s="39">
        <v>34.5</v>
      </c>
      <c r="E11" s="14">
        <f t="shared" ca="1" si="0"/>
        <v>4</v>
      </c>
      <c r="F11" s="20" t="s">
        <v>25</v>
      </c>
      <c r="G11" s="14">
        <v>18</v>
      </c>
      <c r="H11" s="14" t="s">
        <v>21</v>
      </c>
      <c r="I11" s="14">
        <f t="shared" ca="1" si="1"/>
        <v>2025</v>
      </c>
      <c r="J11" s="15">
        <v>0.68164351851851857</v>
      </c>
      <c r="K11" s="14" t="s">
        <v>22</v>
      </c>
      <c r="L11" s="38">
        <f t="shared" ca="1" si="2"/>
        <v>17</v>
      </c>
    </row>
    <row r="12" spans="1:13" ht="15" customHeight="1" thickBot="1">
      <c r="A12" s="91" t="s">
        <v>202</v>
      </c>
      <c r="B12" s="14" t="s">
        <v>38</v>
      </c>
      <c r="C12" s="14"/>
      <c r="D12" s="39">
        <v>34.5</v>
      </c>
      <c r="E12" s="14">
        <f t="shared" ca="1" si="0"/>
        <v>3</v>
      </c>
      <c r="F12" s="20" t="s">
        <v>26</v>
      </c>
      <c r="G12" s="14">
        <v>19</v>
      </c>
      <c r="H12" s="14" t="s">
        <v>21</v>
      </c>
      <c r="I12" s="14">
        <f t="shared" ca="1" si="1"/>
        <v>2025</v>
      </c>
      <c r="J12" s="15">
        <v>0.7839814814814815</v>
      </c>
      <c r="K12" s="14" t="s">
        <v>22</v>
      </c>
      <c r="L12" s="38">
        <f t="shared" ca="1" si="2"/>
        <v>17</v>
      </c>
    </row>
    <row r="13" spans="1:13" ht="15" customHeight="1" thickBot="1">
      <c r="A13" s="91" t="s">
        <v>203</v>
      </c>
      <c r="B13" s="14" t="s">
        <v>39</v>
      </c>
      <c r="C13" s="14"/>
      <c r="D13" s="39">
        <v>34.5</v>
      </c>
      <c r="E13" s="14">
        <f t="shared" ca="1" si="0"/>
        <v>2</v>
      </c>
      <c r="F13" s="20" t="s">
        <v>27</v>
      </c>
      <c r="G13" s="14">
        <v>20</v>
      </c>
      <c r="H13" s="14" t="s">
        <v>21</v>
      </c>
      <c r="I13" s="14">
        <f t="shared" ca="1" si="1"/>
        <v>2025</v>
      </c>
      <c r="J13" s="15">
        <v>0.71112268518518518</v>
      </c>
      <c r="K13" s="14" t="s">
        <v>22</v>
      </c>
      <c r="L13" s="38">
        <f t="shared" ca="1" si="2"/>
        <v>10</v>
      </c>
    </row>
    <row r="14" spans="1:13" ht="15" customHeight="1" thickBot="1">
      <c r="A14" s="91" t="s">
        <v>204</v>
      </c>
      <c r="B14" s="14" t="s">
        <v>40</v>
      </c>
      <c r="C14" s="14"/>
      <c r="D14" s="39">
        <v>34.5</v>
      </c>
      <c r="E14" s="14">
        <f t="shared" ca="1" si="0"/>
        <v>2</v>
      </c>
      <c r="F14" s="20" t="s">
        <v>28</v>
      </c>
      <c r="G14" s="14">
        <v>21</v>
      </c>
      <c r="H14" s="14" t="s">
        <v>21</v>
      </c>
      <c r="I14" s="14">
        <f t="shared" ca="1" si="1"/>
        <v>2025</v>
      </c>
      <c r="J14" s="15">
        <v>0.3203125</v>
      </c>
      <c r="K14" s="14" t="s">
        <v>22</v>
      </c>
      <c r="L14" s="38">
        <f t="shared" ca="1" si="2"/>
        <v>10</v>
      </c>
    </row>
    <row r="15" spans="1:13" ht="15" customHeight="1" thickBot="1">
      <c r="A15" s="91" t="s">
        <v>205</v>
      </c>
      <c r="B15" s="14" t="s">
        <v>41</v>
      </c>
      <c r="C15" s="14"/>
      <c r="D15" s="39">
        <v>34.5</v>
      </c>
      <c r="E15" s="14">
        <f t="shared" ca="1" si="0"/>
        <v>3</v>
      </c>
      <c r="F15" s="20" t="s">
        <v>28</v>
      </c>
      <c r="G15" s="14">
        <v>21</v>
      </c>
      <c r="H15" s="14" t="s">
        <v>21</v>
      </c>
      <c r="I15" s="14">
        <f t="shared" ca="1" si="1"/>
        <v>2025</v>
      </c>
      <c r="J15" s="15">
        <v>0.73304398148148142</v>
      </c>
      <c r="K15" s="14" t="s">
        <v>22</v>
      </c>
      <c r="L15" s="38">
        <f t="shared" ca="1" si="2"/>
        <v>17</v>
      </c>
    </row>
    <row r="16" spans="1:13" ht="15" customHeight="1" thickBot="1">
      <c r="A16" s="91" t="s">
        <v>206</v>
      </c>
      <c r="B16" s="14" t="s">
        <v>42</v>
      </c>
      <c r="C16" s="14"/>
      <c r="D16" s="39">
        <v>34.5</v>
      </c>
      <c r="E16" s="14">
        <f t="shared" ca="1" si="0"/>
        <v>3</v>
      </c>
      <c r="F16" s="20" t="s">
        <v>23</v>
      </c>
      <c r="G16" s="14">
        <v>23</v>
      </c>
      <c r="H16" s="14" t="s">
        <v>21</v>
      </c>
      <c r="I16" s="14">
        <f t="shared" ca="1" si="1"/>
        <v>2025</v>
      </c>
      <c r="J16" s="15">
        <v>0.45883101851851849</v>
      </c>
      <c r="K16" s="14" t="s">
        <v>22</v>
      </c>
      <c r="L16" s="38">
        <f t="shared" ca="1" si="2"/>
        <v>17</v>
      </c>
      <c r="M16" s="40"/>
    </row>
    <row r="17" spans="1:13" ht="15" customHeight="1" thickBot="1">
      <c r="A17" s="91" t="s">
        <v>207</v>
      </c>
      <c r="B17" s="14" t="s">
        <v>43</v>
      </c>
      <c r="C17" s="14"/>
      <c r="D17" s="39">
        <v>34.5</v>
      </c>
      <c r="E17" s="14">
        <f t="shared" ca="1" si="0"/>
        <v>6</v>
      </c>
      <c r="F17" s="20" t="s">
        <v>23</v>
      </c>
      <c r="G17" s="14">
        <v>23</v>
      </c>
      <c r="H17" s="14" t="s">
        <v>21</v>
      </c>
      <c r="I17" s="14">
        <f t="shared" ca="1" si="1"/>
        <v>2025</v>
      </c>
      <c r="J17" s="15">
        <v>0.92083333333333339</v>
      </c>
      <c r="K17" s="14" t="s">
        <v>22</v>
      </c>
      <c r="L17" s="38">
        <f t="shared" ca="1" si="2"/>
        <v>17</v>
      </c>
      <c r="M17" s="40"/>
    </row>
    <row r="18" spans="1:13" ht="15" customHeight="1" thickBot="1">
      <c r="A18" s="91" t="s">
        <v>208</v>
      </c>
      <c r="B18" s="14" t="s">
        <v>44</v>
      </c>
      <c r="C18" s="14"/>
      <c r="D18" s="39">
        <v>34.5</v>
      </c>
      <c r="E18" s="14">
        <f t="shared" ca="1" si="0"/>
        <v>3</v>
      </c>
      <c r="F18" s="20" t="s">
        <v>24</v>
      </c>
      <c r="G18" s="14">
        <v>24</v>
      </c>
      <c r="H18" s="14" t="s">
        <v>21</v>
      </c>
      <c r="I18" s="14">
        <f t="shared" ca="1" si="1"/>
        <v>2025</v>
      </c>
      <c r="J18" s="15">
        <v>0.83994212962962955</v>
      </c>
      <c r="K18" s="14" t="s">
        <v>22</v>
      </c>
      <c r="L18" s="38">
        <f t="shared" ca="1" si="2"/>
        <v>17</v>
      </c>
      <c r="M18" s="40"/>
    </row>
    <row r="19" spans="1:13" ht="15" customHeight="1" thickBot="1">
      <c r="A19" s="91" t="s">
        <v>209</v>
      </c>
      <c r="B19" s="14" t="s">
        <v>45</v>
      </c>
      <c r="C19" s="14"/>
      <c r="D19" s="39">
        <v>34.5</v>
      </c>
      <c r="E19" s="14">
        <f t="shared" ca="1" si="0"/>
        <v>6</v>
      </c>
      <c r="F19" s="20" t="s">
        <v>24</v>
      </c>
      <c r="G19" s="14">
        <v>24</v>
      </c>
      <c r="H19" s="14" t="s">
        <v>21</v>
      </c>
      <c r="I19" s="14">
        <f t="shared" ca="1" si="1"/>
        <v>2025</v>
      </c>
      <c r="J19" s="15">
        <v>0.93158564814814815</v>
      </c>
      <c r="K19" s="14" t="s">
        <v>22</v>
      </c>
      <c r="L19" s="38">
        <f t="shared" ca="1" si="2"/>
        <v>17</v>
      </c>
      <c r="M19" s="40"/>
    </row>
    <row r="20" spans="1:13" ht="15" customHeight="1" thickBot="1">
      <c r="A20" s="91" t="s">
        <v>210</v>
      </c>
      <c r="B20" s="14" t="s">
        <v>46</v>
      </c>
      <c r="C20" s="14"/>
      <c r="D20" s="39">
        <v>34.5</v>
      </c>
      <c r="E20" s="14">
        <f t="shared" ca="1" si="0"/>
        <v>3</v>
      </c>
      <c r="F20" s="20" t="s">
        <v>25</v>
      </c>
      <c r="G20" s="14">
        <v>25</v>
      </c>
      <c r="H20" s="14" t="s">
        <v>21</v>
      </c>
      <c r="I20" s="14">
        <f t="shared" ca="1" si="1"/>
        <v>2025</v>
      </c>
      <c r="J20" s="15">
        <v>0.95686342592592588</v>
      </c>
      <c r="K20" s="14" t="s">
        <v>22</v>
      </c>
      <c r="L20" s="38">
        <f t="shared" ca="1" si="2"/>
        <v>17</v>
      </c>
      <c r="M20" s="40"/>
    </row>
    <row r="21" spans="1:13" ht="15" customHeight="1" thickBot="1">
      <c r="A21" s="91" t="s">
        <v>211</v>
      </c>
      <c r="B21" s="14" t="s">
        <v>47</v>
      </c>
      <c r="C21" s="14"/>
      <c r="D21" s="39">
        <v>34.5</v>
      </c>
      <c r="E21" s="14">
        <f t="shared" ca="1" si="0"/>
        <v>7</v>
      </c>
      <c r="F21" s="20" t="s">
        <v>26</v>
      </c>
      <c r="G21" s="14">
        <v>26</v>
      </c>
      <c r="H21" s="14" t="s">
        <v>21</v>
      </c>
      <c r="I21" s="14">
        <f t="shared" ca="1" si="1"/>
        <v>2025</v>
      </c>
      <c r="J21" s="15">
        <v>0.42584490740740738</v>
      </c>
      <c r="K21" s="14" t="s">
        <v>22</v>
      </c>
      <c r="L21" s="38">
        <f t="shared" ca="1" si="2"/>
        <v>17</v>
      </c>
      <c r="M21" s="40"/>
    </row>
    <row r="22" spans="1:13" ht="15" customHeight="1" thickBot="1">
      <c r="A22" s="91" t="s">
        <v>212</v>
      </c>
      <c r="B22" s="14" t="s">
        <v>48</v>
      </c>
      <c r="C22" s="14"/>
      <c r="D22" s="39">
        <v>34.5</v>
      </c>
      <c r="E22" s="14">
        <f t="shared" ca="1" si="0"/>
        <v>2</v>
      </c>
      <c r="F22" s="20" t="s">
        <v>26</v>
      </c>
      <c r="G22" s="14">
        <v>26</v>
      </c>
      <c r="H22" s="14" t="s">
        <v>21</v>
      </c>
      <c r="I22" s="14">
        <f t="shared" ca="1" si="1"/>
        <v>2025</v>
      </c>
      <c r="J22" s="15">
        <v>0.53960648148148149</v>
      </c>
      <c r="K22" s="14" t="s">
        <v>22</v>
      </c>
      <c r="L22" s="38">
        <f t="shared" ca="1" si="2"/>
        <v>10</v>
      </c>
    </row>
    <row r="23" spans="1:13" ht="15" customHeight="1" thickBot="1">
      <c r="A23" s="91" t="s">
        <v>213</v>
      </c>
      <c r="B23" s="14" t="s">
        <v>49</v>
      </c>
      <c r="C23" s="14"/>
      <c r="D23" s="39">
        <v>34.5</v>
      </c>
      <c r="E23" s="14">
        <f t="shared" ca="1" si="0"/>
        <v>5</v>
      </c>
      <c r="F23" s="20" t="s">
        <v>26</v>
      </c>
      <c r="G23" s="14">
        <v>26</v>
      </c>
      <c r="H23" s="14" t="s">
        <v>21</v>
      </c>
      <c r="I23" s="14">
        <f t="shared" ca="1" si="1"/>
        <v>2025</v>
      </c>
      <c r="J23" s="15">
        <v>0.58559027777777783</v>
      </c>
      <c r="K23" s="14" t="s">
        <v>22</v>
      </c>
      <c r="L23" s="38">
        <f t="shared" ca="1" si="2"/>
        <v>17</v>
      </c>
    </row>
    <row r="24" spans="1:13" ht="15" customHeight="1" thickBot="1">
      <c r="A24" s="91" t="s">
        <v>214</v>
      </c>
      <c r="B24" s="14" t="s">
        <v>50</v>
      </c>
      <c r="C24" s="14"/>
      <c r="D24" s="39">
        <v>34.5</v>
      </c>
      <c r="E24" s="14">
        <f t="shared" ca="1" si="0"/>
        <v>2</v>
      </c>
      <c r="F24" s="20" t="s">
        <v>26</v>
      </c>
      <c r="G24" s="14">
        <v>26</v>
      </c>
      <c r="H24" s="14" t="s">
        <v>21</v>
      </c>
      <c r="I24" s="14">
        <f t="shared" ca="1" si="1"/>
        <v>2025</v>
      </c>
      <c r="J24" s="15">
        <v>0.62951388888888882</v>
      </c>
      <c r="K24" s="14" t="s">
        <v>22</v>
      </c>
      <c r="L24" s="38">
        <f t="shared" ca="1" si="2"/>
        <v>10</v>
      </c>
    </row>
    <row r="25" spans="1:13" ht="15" customHeight="1" thickBot="1">
      <c r="A25" s="91" t="s">
        <v>215</v>
      </c>
      <c r="B25" s="14" t="s">
        <v>51</v>
      </c>
      <c r="C25" s="14"/>
      <c r="D25" s="39">
        <v>34.5</v>
      </c>
      <c r="E25" s="14">
        <f t="shared" ca="1" si="0"/>
        <v>6</v>
      </c>
      <c r="F25" s="20" t="s">
        <v>27</v>
      </c>
      <c r="G25" s="14">
        <v>27</v>
      </c>
      <c r="H25" s="14" t="s">
        <v>21</v>
      </c>
      <c r="I25" s="14">
        <f t="shared" ca="1" si="1"/>
        <v>2025</v>
      </c>
      <c r="J25" s="15">
        <v>0.9234837962962964</v>
      </c>
      <c r="K25" s="14" t="s">
        <v>22</v>
      </c>
      <c r="L25" s="38">
        <f t="shared" ca="1" si="2"/>
        <v>17</v>
      </c>
    </row>
    <row r="26" spans="1:13" ht="15" customHeight="1" thickBot="1">
      <c r="A26" s="92" t="s">
        <v>216</v>
      </c>
      <c r="B26" s="22" t="s">
        <v>52</v>
      </c>
      <c r="C26" s="22"/>
      <c r="D26" s="41">
        <v>34.5</v>
      </c>
      <c r="E26" s="22">
        <f t="shared" ca="1" si="0"/>
        <v>7</v>
      </c>
      <c r="F26" s="21" t="s">
        <v>28</v>
      </c>
      <c r="G26" s="22">
        <v>28</v>
      </c>
      <c r="H26" s="22" t="s">
        <v>21</v>
      </c>
      <c r="I26" s="22">
        <f t="shared" ca="1" si="1"/>
        <v>2025</v>
      </c>
      <c r="J26" s="23">
        <v>0.5770601851851852</v>
      </c>
      <c r="K26" s="22" t="s">
        <v>22</v>
      </c>
      <c r="L26" s="38">
        <f t="shared" ca="1" si="2"/>
        <v>17</v>
      </c>
    </row>
  </sheetData>
  <customSheetViews>
    <customSheetView guid="{F9B480CE-077C-416E-ACF9-56227F746F4A}">
      <selection activeCell="M32" sqref="M32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L2" sqref="L2:L26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29" t="s">
        <v>16</v>
      </c>
      <c r="B1" s="130"/>
      <c r="C1" s="130"/>
      <c r="D1" s="12" t="s">
        <v>17</v>
      </c>
      <c r="E1" s="12" t="s">
        <v>18</v>
      </c>
      <c r="F1" s="130" t="s">
        <v>19</v>
      </c>
      <c r="G1" s="130"/>
      <c r="H1" s="130"/>
      <c r="I1" s="130"/>
      <c r="J1" s="130"/>
      <c r="K1" s="131"/>
      <c r="L1" s="12" t="s">
        <v>85</v>
      </c>
    </row>
    <row r="2" spans="1:13" ht="15" customHeight="1" thickTop="1" thickBot="1">
      <c r="A2" s="90" t="s">
        <v>192</v>
      </c>
      <c r="B2" s="13" t="s">
        <v>29</v>
      </c>
      <c r="C2" s="13"/>
      <c r="D2" s="37">
        <f ca="1">ROUND(RAND()*20+10,1)</f>
        <v>10.9</v>
      </c>
      <c r="E2" s="13">
        <v>2</v>
      </c>
      <c r="F2" s="17" t="s">
        <v>20</v>
      </c>
      <c r="G2" s="18">
        <v>15</v>
      </c>
      <c r="H2" s="18" t="s">
        <v>21</v>
      </c>
      <c r="I2" s="18">
        <f ca="1">YEAR(TODAY())</f>
        <v>2025</v>
      </c>
      <c r="J2" s="19">
        <v>0.84760416666666671</v>
      </c>
      <c r="K2" s="18" t="s">
        <v>22</v>
      </c>
      <c r="L2" s="38">
        <f ca="1">IF(D2&gt;20,9.9,12.5)</f>
        <v>12.5</v>
      </c>
    </row>
    <row r="3" spans="1:13" ht="15" customHeight="1" thickBot="1">
      <c r="A3" s="91" t="s">
        <v>193</v>
      </c>
      <c r="B3" s="14" t="s">
        <v>30</v>
      </c>
      <c r="C3" s="14"/>
      <c r="D3" s="39">
        <f t="shared" ref="D3:D26" ca="1" si="0">ROUND(RAND()*20+10,1)</f>
        <v>23.8</v>
      </c>
      <c r="E3" s="14">
        <v>2</v>
      </c>
      <c r="F3" s="20" t="s">
        <v>23</v>
      </c>
      <c r="G3" s="14">
        <v>16</v>
      </c>
      <c r="H3" s="14" t="s">
        <v>21</v>
      </c>
      <c r="I3" s="14">
        <f t="shared" ref="I3:I26" ca="1" si="1">YEAR(TODAY())</f>
        <v>2025</v>
      </c>
      <c r="J3" s="15">
        <v>0.43560185185185185</v>
      </c>
      <c r="K3" s="14" t="s">
        <v>22</v>
      </c>
      <c r="L3" s="38">
        <f t="shared" ref="L3:L26" ca="1" si="2">IF(D3&gt;20,9.9,12.5)</f>
        <v>9.9</v>
      </c>
    </row>
    <row r="4" spans="1:13" ht="15" customHeight="1" thickBot="1">
      <c r="A4" s="91" t="s">
        <v>194</v>
      </c>
      <c r="B4" s="14" t="s">
        <v>31</v>
      </c>
      <c r="C4" s="14"/>
      <c r="D4" s="39">
        <f t="shared" ca="1" si="0"/>
        <v>17.100000000000001</v>
      </c>
      <c r="E4" s="14">
        <v>2</v>
      </c>
      <c r="F4" s="20" t="s">
        <v>23</v>
      </c>
      <c r="G4" s="14">
        <v>16</v>
      </c>
      <c r="H4" s="14" t="s">
        <v>21</v>
      </c>
      <c r="I4" s="14">
        <f t="shared" ca="1" si="1"/>
        <v>2025</v>
      </c>
      <c r="J4" s="15">
        <v>0.54060185185185183</v>
      </c>
      <c r="K4" s="14" t="s">
        <v>22</v>
      </c>
      <c r="L4" s="38">
        <f t="shared" ca="1" si="2"/>
        <v>12.5</v>
      </c>
    </row>
    <row r="5" spans="1:13" ht="15" customHeight="1" thickBot="1">
      <c r="A5" s="91" t="s">
        <v>195</v>
      </c>
      <c r="B5" s="14" t="s">
        <v>32</v>
      </c>
      <c r="C5" s="14"/>
      <c r="D5" s="39">
        <f t="shared" ca="1" si="0"/>
        <v>16.8</v>
      </c>
      <c r="E5" s="14">
        <v>3</v>
      </c>
      <c r="F5" s="20" t="s">
        <v>23</v>
      </c>
      <c r="G5" s="14">
        <v>16</v>
      </c>
      <c r="H5" s="14" t="s">
        <v>21</v>
      </c>
      <c r="I5" s="14">
        <f t="shared" ca="1" si="1"/>
        <v>2025</v>
      </c>
      <c r="J5" s="15">
        <v>0.57446759259259261</v>
      </c>
      <c r="K5" s="14" t="s">
        <v>22</v>
      </c>
      <c r="L5" s="38">
        <f t="shared" ca="1" si="2"/>
        <v>12.5</v>
      </c>
    </row>
    <row r="6" spans="1:13" ht="15" customHeight="1" thickBot="1">
      <c r="A6" s="91" t="s">
        <v>196</v>
      </c>
      <c r="B6" s="14" t="s">
        <v>33</v>
      </c>
      <c r="C6" s="14"/>
      <c r="D6" s="39">
        <f t="shared" ca="1" si="0"/>
        <v>16.899999999999999</v>
      </c>
      <c r="E6" s="14">
        <v>1</v>
      </c>
      <c r="F6" s="20" t="s">
        <v>23</v>
      </c>
      <c r="G6" s="14">
        <v>16</v>
      </c>
      <c r="H6" s="14" t="s">
        <v>21</v>
      </c>
      <c r="I6" s="14">
        <f t="shared" ca="1" si="1"/>
        <v>2025</v>
      </c>
      <c r="J6" s="15">
        <v>0.92752314814814818</v>
      </c>
      <c r="K6" s="14" t="s">
        <v>22</v>
      </c>
      <c r="L6" s="38">
        <f t="shared" ca="1" si="2"/>
        <v>12.5</v>
      </c>
    </row>
    <row r="7" spans="1:13" ht="15" customHeight="1" thickBot="1">
      <c r="A7" s="91" t="s">
        <v>197</v>
      </c>
      <c r="B7" s="14" t="s">
        <v>34</v>
      </c>
      <c r="C7" s="14"/>
      <c r="D7" s="39">
        <f t="shared" ca="1" si="0"/>
        <v>20.9</v>
      </c>
      <c r="E7" s="14">
        <v>2</v>
      </c>
      <c r="F7" s="20" t="s">
        <v>24</v>
      </c>
      <c r="G7" s="14">
        <v>17</v>
      </c>
      <c r="H7" s="14" t="s">
        <v>21</v>
      </c>
      <c r="I7" s="14">
        <f t="shared" ca="1" si="1"/>
        <v>2025</v>
      </c>
      <c r="J7" s="15">
        <v>0.5131134259259259</v>
      </c>
      <c r="K7" s="14" t="s">
        <v>22</v>
      </c>
      <c r="L7" s="38">
        <f t="shared" ca="1" si="2"/>
        <v>9.9</v>
      </c>
    </row>
    <row r="8" spans="1:13" ht="15" customHeight="1" thickBot="1">
      <c r="A8" s="91" t="s">
        <v>198</v>
      </c>
      <c r="B8" s="14" t="s">
        <v>35</v>
      </c>
      <c r="C8" s="14"/>
      <c r="D8" s="39">
        <f t="shared" ca="1" si="0"/>
        <v>25.5</v>
      </c>
      <c r="E8" s="14">
        <v>2</v>
      </c>
      <c r="F8" s="20" t="s">
        <v>24</v>
      </c>
      <c r="G8" s="14">
        <v>17</v>
      </c>
      <c r="H8" s="14" t="s">
        <v>21</v>
      </c>
      <c r="I8" s="14">
        <f t="shared" ca="1" si="1"/>
        <v>2025</v>
      </c>
      <c r="J8" s="15">
        <v>0.52156250000000004</v>
      </c>
      <c r="K8" s="14" t="s">
        <v>22</v>
      </c>
      <c r="L8" s="38">
        <f t="shared" ca="1" si="2"/>
        <v>9.9</v>
      </c>
    </row>
    <row r="9" spans="1:13" ht="15" customHeight="1" thickBot="1">
      <c r="A9" s="91" t="s">
        <v>199</v>
      </c>
      <c r="B9" s="14" t="s">
        <v>36</v>
      </c>
      <c r="C9" s="14"/>
      <c r="D9" s="39">
        <f t="shared" ca="1" si="0"/>
        <v>29.7</v>
      </c>
      <c r="E9" s="14">
        <v>1</v>
      </c>
      <c r="F9" s="20" t="s">
        <v>24</v>
      </c>
      <c r="G9" s="14">
        <v>17</v>
      </c>
      <c r="H9" s="14" t="s">
        <v>21</v>
      </c>
      <c r="I9" s="14">
        <f t="shared" ca="1" si="1"/>
        <v>2025</v>
      </c>
      <c r="J9" s="15">
        <v>0.59075231481481483</v>
      </c>
      <c r="K9" s="14" t="s">
        <v>22</v>
      </c>
      <c r="L9" s="38">
        <f t="shared" ca="1" si="2"/>
        <v>9.9</v>
      </c>
    </row>
    <row r="10" spans="1:13" ht="15" customHeight="1" thickBot="1">
      <c r="A10" s="91" t="s">
        <v>200</v>
      </c>
      <c r="B10" s="14" t="s">
        <v>37</v>
      </c>
      <c r="C10" s="14"/>
      <c r="D10" s="39">
        <f t="shared" ca="1" si="0"/>
        <v>27.8</v>
      </c>
      <c r="E10" s="14">
        <v>1</v>
      </c>
      <c r="F10" s="20" t="s">
        <v>25</v>
      </c>
      <c r="G10" s="14">
        <v>18</v>
      </c>
      <c r="H10" s="14" t="s">
        <v>21</v>
      </c>
      <c r="I10" s="14">
        <f t="shared" ca="1" si="1"/>
        <v>2025</v>
      </c>
      <c r="J10" s="15">
        <v>0.66196759259259264</v>
      </c>
      <c r="K10" s="14" t="s">
        <v>22</v>
      </c>
      <c r="L10" s="38">
        <f t="shared" ca="1" si="2"/>
        <v>9.9</v>
      </c>
    </row>
    <row r="11" spans="1:13" ht="15" customHeight="1" thickBot="1">
      <c r="A11" s="91" t="s">
        <v>201</v>
      </c>
      <c r="B11" s="14" t="s">
        <v>38</v>
      </c>
      <c r="C11" s="14"/>
      <c r="D11" s="39">
        <f t="shared" ca="1" si="0"/>
        <v>16</v>
      </c>
      <c r="E11" s="14">
        <v>1</v>
      </c>
      <c r="F11" s="20" t="s">
        <v>25</v>
      </c>
      <c r="G11" s="14">
        <v>18</v>
      </c>
      <c r="H11" s="14" t="s">
        <v>21</v>
      </c>
      <c r="I11" s="14">
        <f t="shared" ca="1" si="1"/>
        <v>2025</v>
      </c>
      <c r="J11" s="15">
        <v>0.68164351851851857</v>
      </c>
      <c r="K11" s="14" t="s">
        <v>22</v>
      </c>
      <c r="L11" s="38">
        <f t="shared" ca="1" si="2"/>
        <v>12.5</v>
      </c>
    </row>
    <row r="12" spans="1:13" ht="15" customHeight="1" thickBot="1">
      <c r="A12" s="91" t="s">
        <v>202</v>
      </c>
      <c r="B12" s="14" t="s">
        <v>38</v>
      </c>
      <c r="C12" s="14"/>
      <c r="D12" s="39">
        <f t="shared" ca="1" si="0"/>
        <v>12.9</v>
      </c>
      <c r="E12" s="14">
        <v>1</v>
      </c>
      <c r="F12" s="20" t="s">
        <v>26</v>
      </c>
      <c r="G12" s="14">
        <v>19</v>
      </c>
      <c r="H12" s="14" t="s">
        <v>21</v>
      </c>
      <c r="I12" s="14">
        <f t="shared" ca="1" si="1"/>
        <v>2025</v>
      </c>
      <c r="J12" s="15">
        <v>0.7839814814814815</v>
      </c>
      <c r="K12" s="14" t="s">
        <v>22</v>
      </c>
      <c r="L12" s="38">
        <f t="shared" ca="1" si="2"/>
        <v>12.5</v>
      </c>
    </row>
    <row r="13" spans="1:13" ht="15" customHeight="1" thickBot="1">
      <c r="A13" s="91" t="s">
        <v>203</v>
      </c>
      <c r="B13" s="14" t="s">
        <v>39</v>
      </c>
      <c r="C13" s="14"/>
      <c r="D13" s="39">
        <f t="shared" ca="1" si="0"/>
        <v>13.3</v>
      </c>
      <c r="E13" s="14">
        <v>2</v>
      </c>
      <c r="F13" s="20" t="s">
        <v>27</v>
      </c>
      <c r="G13" s="14">
        <v>20</v>
      </c>
      <c r="H13" s="14" t="s">
        <v>21</v>
      </c>
      <c r="I13" s="14">
        <f t="shared" ca="1" si="1"/>
        <v>2025</v>
      </c>
      <c r="J13" s="15">
        <v>0.71112268518518518</v>
      </c>
      <c r="K13" s="14" t="s">
        <v>22</v>
      </c>
      <c r="L13" s="38">
        <f t="shared" ca="1" si="2"/>
        <v>12.5</v>
      </c>
    </row>
    <row r="14" spans="1:13" ht="15" customHeight="1" thickBot="1">
      <c r="A14" s="91" t="s">
        <v>204</v>
      </c>
      <c r="B14" s="14" t="s">
        <v>40</v>
      </c>
      <c r="C14" s="14"/>
      <c r="D14" s="39">
        <f t="shared" ca="1" si="0"/>
        <v>25</v>
      </c>
      <c r="E14" s="14">
        <v>1</v>
      </c>
      <c r="F14" s="20" t="s">
        <v>28</v>
      </c>
      <c r="G14" s="14">
        <v>21</v>
      </c>
      <c r="H14" s="14" t="s">
        <v>21</v>
      </c>
      <c r="I14" s="14">
        <f t="shared" ca="1" si="1"/>
        <v>2025</v>
      </c>
      <c r="J14" s="15">
        <v>0.3203125</v>
      </c>
      <c r="K14" s="14" t="s">
        <v>22</v>
      </c>
      <c r="L14" s="38">
        <f t="shared" ca="1" si="2"/>
        <v>9.9</v>
      </c>
    </row>
    <row r="15" spans="1:13" ht="15" customHeight="1" thickBot="1">
      <c r="A15" s="91" t="s">
        <v>205</v>
      </c>
      <c r="B15" s="14" t="s">
        <v>41</v>
      </c>
      <c r="C15" s="14"/>
      <c r="D15" s="39">
        <f t="shared" ca="1" si="0"/>
        <v>27.8</v>
      </c>
      <c r="E15" s="14">
        <v>2</v>
      </c>
      <c r="F15" s="20" t="s">
        <v>28</v>
      </c>
      <c r="G15" s="14">
        <v>21</v>
      </c>
      <c r="H15" s="14" t="s">
        <v>21</v>
      </c>
      <c r="I15" s="14">
        <f t="shared" ca="1" si="1"/>
        <v>2025</v>
      </c>
      <c r="J15" s="15">
        <v>0.73304398148148142</v>
      </c>
      <c r="K15" s="14" t="s">
        <v>22</v>
      </c>
      <c r="L15" s="38">
        <f t="shared" ca="1" si="2"/>
        <v>9.9</v>
      </c>
    </row>
    <row r="16" spans="1:13" ht="15" customHeight="1" thickBot="1">
      <c r="A16" s="91" t="s">
        <v>206</v>
      </c>
      <c r="B16" s="14" t="s">
        <v>42</v>
      </c>
      <c r="C16" s="14"/>
      <c r="D16" s="39">
        <f t="shared" ca="1" si="0"/>
        <v>15.7</v>
      </c>
      <c r="E16" s="14">
        <v>1</v>
      </c>
      <c r="F16" s="20" t="s">
        <v>23</v>
      </c>
      <c r="G16" s="14">
        <v>23</v>
      </c>
      <c r="H16" s="14" t="s">
        <v>21</v>
      </c>
      <c r="I16" s="14">
        <f t="shared" ca="1" si="1"/>
        <v>2025</v>
      </c>
      <c r="J16" s="15">
        <v>0.45883101851851849</v>
      </c>
      <c r="K16" s="14" t="s">
        <v>22</v>
      </c>
      <c r="L16" s="38">
        <f t="shared" ca="1" si="2"/>
        <v>12.5</v>
      </c>
      <c r="M16" s="40"/>
    </row>
    <row r="17" spans="1:13" ht="15" customHeight="1" thickBot="1">
      <c r="A17" s="91" t="s">
        <v>207</v>
      </c>
      <c r="B17" s="14" t="s">
        <v>43</v>
      </c>
      <c r="C17" s="14"/>
      <c r="D17" s="39">
        <f t="shared" ca="1" si="0"/>
        <v>20.3</v>
      </c>
      <c r="E17" s="14">
        <v>1</v>
      </c>
      <c r="F17" s="20" t="s">
        <v>23</v>
      </c>
      <c r="G17" s="14">
        <v>23</v>
      </c>
      <c r="H17" s="14" t="s">
        <v>21</v>
      </c>
      <c r="I17" s="14">
        <f t="shared" ca="1" si="1"/>
        <v>2025</v>
      </c>
      <c r="J17" s="15">
        <v>0.92083333333333339</v>
      </c>
      <c r="K17" s="14" t="s">
        <v>22</v>
      </c>
      <c r="L17" s="38">
        <f t="shared" ca="1" si="2"/>
        <v>9.9</v>
      </c>
      <c r="M17" s="40"/>
    </row>
    <row r="18" spans="1:13" ht="15" customHeight="1" thickBot="1">
      <c r="A18" s="91" t="s">
        <v>208</v>
      </c>
      <c r="B18" s="14" t="s">
        <v>44</v>
      </c>
      <c r="C18" s="14"/>
      <c r="D18" s="39">
        <f t="shared" ca="1" si="0"/>
        <v>28.8</v>
      </c>
      <c r="E18" s="14">
        <v>1</v>
      </c>
      <c r="F18" s="20" t="s">
        <v>24</v>
      </c>
      <c r="G18" s="14">
        <v>24</v>
      </c>
      <c r="H18" s="14" t="s">
        <v>21</v>
      </c>
      <c r="I18" s="14">
        <f t="shared" ca="1" si="1"/>
        <v>2025</v>
      </c>
      <c r="J18" s="15">
        <v>0.83994212962962955</v>
      </c>
      <c r="K18" s="14" t="s">
        <v>22</v>
      </c>
      <c r="L18" s="38">
        <f t="shared" ca="1" si="2"/>
        <v>9.9</v>
      </c>
      <c r="M18" s="40"/>
    </row>
    <row r="19" spans="1:13" ht="15" customHeight="1" thickBot="1">
      <c r="A19" s="91" t="s">
        <v>209</v>
      </c>
      <c r="B19" s="14" t="s">
        <v>45</v>
      </c>
      <c r="C19" s="14"/>
      <c r="D19" s="39">
        <f t="shared" ca="1" si="0"/>
        <v>14.7</v>
      </c>
      <c r="E19" s="14">
        <v>2</v>
      </c>
      <c r="F19" s="20" t="s">
        <v>24</v>
      </c>
      <c r="G19" s="14">
        <v>24</v>
      </c>
      <c r="H19" s="14" t="s">
        <v>21</v>
      </c>
      <c r="I19" s="14">
        <f t="shared" ca="1" si="1"/>
        <v>2025</v>
      </c>
      <c r="J19" s="15">
        <v>0.93158564814814815</v>
      </c>
      <c r="K19" s="14" t="s">
        <v>22</v>
      </c>
      <c r="L19" s="38">
        <f t="shared" ca="1" si="2"/>
        <v>12.5</v>
      </c>
      <c r="M19" s="40"/>
    </row>
    <row r="20" spans="1:13" ht="15" customHeight="1" thickBot="1">
      <c r="A20" s="91" t="s">
        <v>210</v>
      </c>
      <c r="B20" s="14" t="s">
        <v>46</v>
      </c>
      <c r="C20" s="14"/>
      <c r="D20" s="39">
        <f t="shared" ca="1" si="0"/>
        <v>26.9</v>
      </c>
      <c r="E20" s="14">
        <v>1</v>
      </c>
      <c r="F20" s="20" t="s">
        <v>25</v>
      </c>
      <c r="G20" s="14">
        <v>25</v>
      </c>
      <c r="H20" s="14" t="s">
        <v>21</v>
      </c>
      <c r="I20" s="14">
        <f t="shared" ca="1" si="1"/>
        <v>2025</v>
      </c>
      <c r="J20" s="15">
        <v>0.95686342592592588</v>
      </c>
      <c r="K20" s="14" t="s">
        <v>22</v>
      </c>
      <c r="L20" s="38">
        <f t="shared" ca="1" si="2"/>
        <v>9.9</v>
      </c>
      <c r="M20" s="40"/>
    </row>
    <row r="21" spans="1:13" ht="15" customHeight="1" thickBot="1">
      <c r="A21" s="91" t="s">
        <v>211</v>
      </c>
      <c r="B21" s="14" t="s">
        <v>47</v>
      </c>
      <c r="C21" s="14"/>
      <c r="D21" s="39">
        <f t="shared" ca="1" si="0"/>
        <v>16.3</v>
      </c>
      <c r="E21" s="14">
        <v>1</v>
      </c>
      <c r="F21" s="20" t="s">
        <v>26</v>
      </c>
      <c r="G21" s="14">
        <v>26</v>
      </c>
      <c r="H21" s="14" t="s">
        <v>21</v>
      </c>
      <c r="I21" s="14">
        <f t="shared" ca="1" si="1"/>
        <v>2025</v>
      </c>
      <c r="J21" s="15">
        <v>0.42584490740740738</v>
      </c>
      <c r="K21" s="14" t="s">
        <v>22</v>
      </c>
      <c r="L21" s="38">
        <f t="shared" ca="1" si="2"/>
        <v>12.5</v>
      </c>
      <c r="M21" s="40"/>
    </row>
    <row r="22" spans="1:13" ht="15" customHeight="1" thickBot="1">
      <c r="A22" s="91" t="s">
        <v>212</v>
      </c>
      <c r="B22" s="14" t="s">
        <v>48</v>
      </c>
      <c r="C22" s="14"/>
      <c r="D22" s="39">
        <f t="shared" ca="1" si="0"/>
        <v>25.3</v>
      </c>
      <c r="E22" s="14">
        <v>2</v>
      </c>
      <c r="F22" s="20" t="s">
        <v>26</v>
      </c>
      <c r="G22" s="14">
        <v>26</v>
      </c>
      <c r="H22" s="14" t="s">
        <v>21</v>
      </c>
      <c r="I22" s="14">
        <f t="shared" ca="1" si="1"/>
        <v>2025</v>
      </c>
      <c r="J22" s="15">
        <v>0.53960648148148149</v>
      </c>
      <c r="K22" s="14" t="s">
        <v>22</v>
      </c>
      <c r="L22" s="38">
        <f t="shared" ca="1" si="2"/>
        <v>9.9</v>
      </c>
    </row>
    <row r="23" spans="1:13" ht="15" customHeight="1" thickBot="1">
      <c r="A23" s="91" t="s">
        <v>213</v>
      </c>
      <c r="B23" s="14" t="s">
        <v>49</v>
      </c>
      <c r="C23" s="14"/>
      <c r="D23" s="39">
        <f t="shared" ca="1" si="0"/>
        <v>10.199999999999999</v>
      </c>
      <c r="E23" s="14">
        <v>1</v>
      </c>
      <c r="F23" s="20" t="s">
        <v>26</v>
      </c>
      <c r="G23" s="14">
        <v>26</v>
      </c>
      <c r="H23" s="14" t="s">
        <v>21</v>
      </c>
      <c r="I23" s="14">
        <f t="shared" ca="1" si="1"/>
        <v>2025</v>
      </c>
      <c r="J23" s="15">
        <v>0.58559027777777783</v>
      </c>
      <c r="K23" s="14" t="s">
        <v>22</v>
      </c>
      <c r="L23" s="38">
        <f t="shared" ca="1" si="2"/>
        <v>12.5</v>
      </c>
    </row>
    <row r="24" spans="1:13" ht="15" customHeight="1" thickBot="1">
      <c r="A24" s="91" t="s">
        <v>214</v>
      </c>
      <c r="B24" s="14" t="s">
        <v>50</v>
      </c>
      <c r="C24" s="14"/>
      <c r="D24" s="39">
        <f t="shared" ca="1" si="0"/>
        <v>23.1</v>
      </c>
      <c r="E24" s="14">
        <v>3</v>
      </c>
      <c r="F24" s="20" t="s">
        <v>26</v>
      </c>
      <c r="G24" s="14">
        <v>26</v>
      </c>
      <c r="H24" s="14" t="s">
        <v>21</v>
      </c>
      <c r="I24" s="14">
        <f t="shared" ca="1" si="1"/>
        <v>2025</v>
      </c>
      <c r="J24" s="15">
        <v>0.62951388888888882</v>
      </c>
      <c r="K24" s="14" t="s">
        <v>22</v>
      </c>
      <c r="L24" s="38">
        <f t="shared" ca="1" si="2"/>
        <v>9.9</v>
      </c>
    </row>
    <row r="25" spans="1:13" ht="15" customHeight="1" thickBot="1">
      <c r="A25" s="91" t="s">
        <v>215</v>
      </c>
      <c r="B25" s="14" t="s">
        <v>51</v>
      </c>
      <c r="C25" s="14"/>
      <c r="D25" s="39">
        <f t="shared" ca="1" si="0"/>
        <v>17.2</v>
      </c>
      <c r="E25" s="14">
        <v>1</v>
      </c>
      <c r="F25" s="20" t="s">
        <v>27</v>
      </c>
      <c r="G25" s="14">
        <v>27</v>
      </c>
      <c r="H25" s="14" t="s">
        <v>21</v>
      </c>
      <c r="I25" s="14">
        <f t="shared" ca="1" si="1"/>
        <v>2025</v>
      </c>
      <c r="J25" s="15">
        <v>0.9234837962962964</v>
      </c>
      <c r="K25" s="14" t="s">
        <v>22</v>
      </c>
      <c r="L25" s="38">
        <f t="shared" ca="1" si="2"/>
        <v>12.5</v>
      </c>
    </row>
    <row r="26" spans="1:13" ht="15" customHeight="1" thickBot="1">
      <c r="A26" s="92" t="s">
        <v>216</v>
      </c>
      <c r="B26" s="16" t="s">
        <v>52</v>
      </c>
      <c r="C26" s="16"/>
      <c r="D26" s="41">
        <f t="shared" ca="1" si="0"/>
        <v>28.4</v>
      </c>
      <c r="E26" s="16">
        <v>1</v>
      </c>
      <c r="F26" s="21" t="s">
        <v>28</v>
      </c>
      <c r="G26" s="22">
        <v>28</v>
      </c>
      <c r="H26" s="22" t="s">
        <v>21</v>
      </c>
      <c r="I26" s="22">
        <f t="shared" ca="1" si="1"/>
        <v>2025</v>
      </c>
      <c r="J26" s="23">
        <v>0.5770601851851852</v>
      </c>
      <c r="K26" s="22" t="s">
        <v>22</v>
      </c>
      <c r="L26" s="38">
        <f t="shared" ca="1" si="2"/>
        <v>9.9</v>
      </c>
    </row>
  </sheetData>
  <customSheetViews>
    <customSheetView guid="{F9B480CE-077C-416E-ACF9-56227F746F4A}">
      <selection activeCell="N31" sqref="N31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12" workbookViewId="0">
      <selection activeCell="F2" sqref="F2:F51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58" t="s">
        <v>86</v>
      </c>
      <c r="B1" s="56" t="s">
        <v>87</v>
      </c>
      <c r="C1" s="56" t="s">
        <v>88</v>
      </c>
      <c r="D1" s="56" t="s">
        <v>88</v>
      </c>
      <c r="E1" s="56" t="s">
        <v>92</v>
      </c>
      <c r="F1" s="57" t="s">
        <v>93</v>
      </c>
      <c r="R1">
        <v>1</v>
      </c>
      <c r="S1" t="s">
        <v>89</v>
      </c>
    </row>
    <row r="2" spans="1:19" ht="15" customHeight="1">
      <c r="A2" s="51" t="str">
        <f ca="1">"60"&amp;2*ROUND(RAND()*4,0)&amp;ROUND(RAND()*800000+100000,0)</f>
        <v>608885828</v>
      </c>
      <c r="B2" s="52">
        <f ca="1">ROUND(RAND()*200+10,1)</f>
        <v>40.200000000000003</v>
      </c>
      <c r="C2" s="53">
        <f ca="1">ROUND(RAND()*2+1,0)</f>
        <v>2</v>
      </c>
      <c r="D2" s="54" t="str">
        <f ca="1">VLOOKUP(C2,$R$1:$S$3,2)</f>
        <v>zdrapka</v>
      </c>
      <c r="E2" s="59">
        <f ca="1">ROUND(RAND()*365+40179,4)</f>
        <v>40265.805500000002</v>
      </c>
      <c r="F2" s="55">
        <f ca="1">IF(D2="internet",B2 * 110%,B2)</f>
        <v>40.200000000000003</v>
      </c>
      <c r="G2" s="42"/>
      <c r="R2">
        <v>2</v>
      </c>
      <c r="S2" t="s">
        <v>90</v>
      </c>
    </row>
    <row r="3" spans="1:19" ht="15" customHeight="1">
      <c r="A3" s="46" t="str">
        <f t="shared" ref="A3:A51" ca="1" si="0">"60"&amp;2*ROUND(RAND()*4,0)&amp;ROUND(RAND()*800000+100000,0)</f>
        <v>600212495</v>
      </c>
      <c r="B3" s="43">
        <f t="shared" ref="B3:B26" ca="1" si="1">ROUND(RAND()*200+10,1)</f>
        <v>161.4</v>
      </c>
      <c r="C3" s="44">
        <f t="shared" ref="C3:C26" ca="1" si="2">ROUND(RAND()*2+1,0)</f>
        <v>2</v>
      </c>
      <c r="D3" s="45" t="str">
        <f t="shared" ref="D3:D51" ca="1" si="3">VLOOKUP(C3,$R$1:$S$3,2)</f>
        <v>zdrapka</v>
      </c>
      <c r="E3" s="60">
        <f t="shared" ref="E3:E51" ca="1" si="4">ROUND(RAND()*365+40179,4)</f>
        <v>40501.1247</v>
      </c>
      <c r="F3" s="55">
        <f t="shared" ref="F3:F51" ca="1" si="5">IF(D3="internet",B3 * 110%,B3)</f>
        <v>161.4</v>
      </c>
      <c r="R3">
        <v>3</v>
      </c>
      <c r="S3" t="s">
        <v>91</v>
      </c>
    </row>
    <row r="4" spans="1:19" ht="15" customHeight="1">
      <c r="A4" s="46" t="str">
        <f t="shared" ca="1" si="0"/>
        <v>606228318</v>
      </c>
      <c r="B4" s="43">
        <f t="shared" ca="1" si="1"/>
        <v>145.80000000000001</v>
      </c>
      <c r="C4" s="44">
        <f t="shared" ca="1" si="2"/>
        <v>2</v>
      </c>
      <c r="D4" s="45" t="str">
        <f t="shared" ca="1" si="3"/>
        <v>zdrapka</v>
      </c>
      <c r="E4" s="60">
        <f t="shared" ca="1" si="4"/>
        <v>40190.331299999998</v>
      </c>
      <c r="F4" s="55">
        <f t="shared" ca="1" si="5"/>
        <v>145.80000000000001</v>
      </c>
    </row>
    <row r="5" spans="1:19" ht="15" customHeight="1">
      <c r="A5" s="46" t="str">
        <f t="shared" ca="1" si="0"/>
        <v>608358671</v>
      </c>
      <c r="B5" s="43">
        <f t="shared" ca="1" si="1"/>
        <v>93.8</v>
      </c>
      <c r="C5" s="44">
        <f t="shared" ca="1" si="2"/>
        <v>1</v>
      </c>
      <c r="D5" s="45" t="str">
        <f t="shared" ca="1" si="3"/>
        <v>internet</v>
      </c>
      <c r="E5" s="60">
        <f t="shared" ca="1" si="4"/>
        <v>40326.203500000003</v>
      </c>
      <c r="F5" s="55">
        <f t="shared" ca="1" si="5"/>
        <v>103.18</v>
      </c>
    </row>
    <row r="6" spans="1:19" ht="15" customHeight="1">
      <c r="A6" s="46" t="str">
        <f t="shared" ca="1" si="0"/>
        <v>606897525</v>
      </c>
      <c r="B6" s="43">
        <f t="shared" ca="1" si="1"/>
        <v>178</v>
      </c>
      <c r="C6" s="44">
        <f t="shared" ca="1" si="2"/>
        <v>3</v>
      </c>
      <c r="D6" s="45" t="str">
        <f t="shared" ca="1" si="3"/>
        <v>bankomat</v>
      </c>
      <c r="E6" s="60">
        <f t="shared" ca="1" si="4"/>
        <v>40470.789400000001</v>
      </c>
      <c r="F6" s="55">
        <f t="shared" ca="1" si="5"/>
        <v>178</v>
      </c>
    </row>
    <row r="7" spans="1:19" ht="15" customHeight="1">
      <c r="A7" s="46" t="str">
        <f t="shared" ca="1" si="0"/>
        <v>606666452</v>
      </c>
      <c r="B7" s="43">
        <f t="shared" ca="1" si="1"/>
        <v>137.69999999999999</v>
      </c>
      <c r="C7" s="44">
        <f t="shared" ca="1" si="2"/>
        <v>2</v>
      </c>
      <c r="D7" s="45" t="str">
        <f t="shared" ca="1" si="3"/>
        <v>zdrapka</v>
      </c>
      <c r="E7" s="60">
        <f t="shared" ca="1" si="4"/>
        <v>40301.837200000002</v>
      </c>
      <c r="F7" s="55">
        <f t="shared" ca="1" si="5"/>
        <v>137.69999999999999</v>
      </c>
    </row>
    <row r="8" spans="1:19" ht="15" customHeight="1">
      <c r="A8" s="46" t="str">
        <f t="shared" ca="1" si="0"/>
        <v>604211638</v>
      </c>
      <c r="B8" s="43">
        <f t="shared" ca="1" si="1"/>
        <v>172.3</v>
      </c>
      <c r="C8" s="44">
        <f t="shared" ca="1" si="2"/>
        <v>2</v>
      </c>
      <c r="D8" s="45" t="str">
        <f t="shared" ca="1" si="3"/>
        <v>zdrapka</v>
      </c>
      <c r="E8" s="60">
        <f t="shared" ca="1" si="4"/>
        <v>40523.3989</v>
      </c>
      <c r="F8" s="55">
        <f t="shared" ca="1" si="5"/>
        <v>172.3</v>
      </c>
    </row>
    <row r="9" spans="1:19" ht="15" customHeight="1">
      <c r="A9" s="46" t="str">
        <f t="shared" ca="1" si="0"/>
        <v>600642733</v>
      </c>
      <c r="B9" s="43">
        <f t="shared" ca="1" si="1"/>
        <v>113.9</v>
      </c>
      <c r="C9" s="44">
        <f t="shared" ca="1" si="2"/>
        <v>1</v>
      </c>
      <c r="D9" s="45" t="str">
        <f t="shared" ca="1" si="3"/>
        <v>internet</v>
      </c>
      <c r="E9" s="60">
        <f t="shared" ca="1" si="4"/>
        <v>40248.054199999999</v>
      </c>
      <c r="F9" s="55">
        <f t="shared" ca="1" si="5"/>
        <v>125.29000000000002</v>
      </c>
    </row>
    <row r="10" spans="1:19" ht="15" customHeight="1">
      <c r="A10" s="46" t="str">
        <f t="shared" ca="1" si="0"/>
        <v>602425902</v>
      </c>
      <c r="B10" s="43">
        <f t="shared" ca="1" si="1"/>
        <v>17.899999999999999</v>
      </c>
      <c r="C10" s="44">
        <f t="shared" ca="1" si="2"/>
        <v>1</v>
      </c>
      <c r="D10" s="45" t="str">
        <f t="shared" ca="1" si="3"/>
        <v>internet</v>
      </c>
      <c r="E10" s="60">
        <f t="shared" ca="1" si="4"/>
        <v>40323.8727</v>
      </c>
      <c r="F10" s="55">
        <f t="shared" ca="1" si="5"/>
        <v>19.690000000000001</v>
      </c>
    </row>
    <row r="11" spans="1:19" ht="15" customHeight="1">
      <c r="A11" s="46" t="str">
        <f t="shared" ca="1" si="0"/>
        <v>606383552</v>
      </c>
      <c r="B11" s="43">
        <f t="shared" ca="1" si="1"/>
        <v>134</v>
      </c>
      <c r="C11" s="44">
        <f t="shared" ca="1" si="2"/>
        <v>2</v>
      </c>
      <c r="D11" s="45" t="str">
        <f t="shared" ca="1" si="3"/>
        <v>zdrapka</v>
      </c>
      <c r="E11" s="60">
        <f t="shared" ca="1" si="4"/>
        <v>40533.1014</v>
      </c>
      <c r="F11" s="55">
        <f t="shared" ca="1" si="5"/>
        <v>134</v>
      </c>
    </row>
    <row r="12" spans="1:19" ht="15" customHeight="1">
      <c r="A12" s="46" t="str">
        <f t="shared" ca="1" si="0"/>
        <v>600278303</v>
      </c>
      <c r="B12" s="43">
        <f t="shared" ca="1" si="1"/>
        <v>55.8</v>
      </c>
      <c r="C12" s="44">
        <f t="shared" ca="1" si="2"/>
        <v>3</v>
      </c>
      <c r="D12" s="45" t="str">
        <f t="shared" ca="1" si="3"/>
        <v>bankomat</v>
      </c>
      <c r="E12" s="60">
        <f t="shared" ca="1" si="4"/>
        <v>40502.210400000004</v>
      </c>
      <c r="F12" s="55">
        <f t="shared" ca="1" si="5"/>
        <v>55.8</v>
      </c>
    </row>
    <row r="13" spans="1:19" ht="15" customHeight="1">
      <c r="A13" s="46" t="str">
        <f t="shared" ca="1" si="0"/>
        <v>602690934</v>
      </c>
      <c r="B13" s="43">
        <f t="shared" ca="1" si="1"/>
        <v>92.4</v>
      </c>
      <c r="C13" s="44">
        <f t="shared" ca="1" si="2"/>
        <v>2</v>
      </c>
      <c r="D13" s="45" t="str">
        <f t="shared" ca="1" si="3"/>
        <v>zdrapka</v>
      </c>
      <c r="E13" s="60">
        <f t="shared" ca="1" si="4"/>
        <v>40223.568500000001</v>
      </c>
      <c r="F13" s="55">
        <f t="shared" ca="1" si="5"/>
        <v>92.4</v>
      </c>
    </row>
    <row r="14" spans="1:19" ht="15" customHeight="1">
      <c r="A14" s="46" t="str">
        <f t="shared" ca="1" si="0"/>
        <v>602229341</v>
      </c>
      <c r="B14" s="43">
        <f t="shared" ca="1" si="1"/>
        <v>79.3</v>
      </c>
      <c r="C14" s="44">
        <f t="shared" ca="1" si="2"/>
        <v>2</v>
      </c>
      <c r="D14" s="45" t="str">
        <f t="shared" ca="1" si="3"/>
        <v>zdrapka</v>
      </c>
      <c r="E14" s="60">
        <f t="shared" ca="1" si="4"/>
        <v>40224.676500000001</v>
      </c>
      <c r="F14" s="55">
        <f t="shared" ca="1" si="5"/>
        <v>79.3</v>
      </c>
    </row>
    <row r="15" spans="1:19" ht="15" customHeight="1">
      <c r="A15" s="46" t="str">
        <f t="shared" ca="1" si="0"/>
        <v>608139135</v>
      </c>
      <c r="B15" s="43">
        <f t="shared" ca="1" si="1"/>
        <v>108.9</v>
      </c>
      <c r="C15" s="44">
        <f t="shared" ca="1" si="2"/>
        <v>1</v>
      </c>
      <c r="D15" s="45" t="str">
        <f t="shared" ca="1" si="3"/>
        <v>internet</v>
      </c>
      <c r="E15" s="60">
        <f t="shared" ca="1" si="4"/>
        <v>40396.907299999999</v>
      </c>
      <c r="F15" s="55">
        <f t="shared" ca="1" si="5"/>
        <v>119.79000000000002</v>
      </c>
    </row>
    <row r="16" spans="1:19" ht="15" customHeight="1">
      <c r="A16" s="46" t="str">
        <f t="shared" ca="1" si="0"/>
        <v>604638054</v>
      </c>
      <c r="B16" s="43">
        <f t="shared" ca="1" si="1"/>
        <v>197.1</v>
      </c>
      <c r="C16" s="44">
        <f t="shared" ca="1" si="2"/>
        <v>1</v>
      </c>
      <c r="D16" s="45" t="str">
        <f t="shared" ca="1" si="3"/>
        <v>internet</v>
      </c>
      <c r="E16" s="60">
        <f t="shared" ca="1" si="4"/>
        <v>40355.220699999998</v>
      </c>
      <c r="F16" s="55">
        <f t="shared" ca="1" si="5"/>
        <v>216.81</v>
      </c>
      <c r="G16" s="40"/>
    </row>
    <row r="17" spans="1:7" ht="15" customHeight="1">
      <c r="A17" s="46" t="str">
        <f t="shared" ca="1" si="0"/>
        <v>608608334</v>
      </c>
      <c r="B17" s="43">
        <f t="shared" ca="1" si="1"/>
        <v>127.7</v>
      </c>
      <c r="C17" s="44">
        <f t="shared" ca="1" si="2"/>
        <v>2</v>
      </c>
      <c r="D17" s="45" t="str">
        <f t="shared" ca="1" si="3"/>
        <v>zdrapka</v>
      </c>
      <c r="E17" s="60">
        <f t="shared" ca="1" si="4"/>
        <v>40253.1927</v>
      </c>
      <c r="F17" s="55">
        <f t="shared" ca="1" si="5"/>
        <v>127.7</v>
      </c>
      <c r="G17" s="40"/>
    </row>
    <row r="18" spans="1:7" ht="15" customHeight="1">
      <c r="A18" s="46" t="str">
        <f t="shared" ca="1" si="0"/>
        <v>606313943</v>
      </c>
      <c r="B18" s="43">
        <f t="shared" ca="1" si="1"/>
        <v>118.4</v>
      </c>
      <c r="C18" s="44">
        <f t="shared" ca="1" si="2"/>
        <v>2</v>
      </c>
      <c r="D18" s="45" t="str">
        <f t="shared" ca="1" si="3"/>
        <v>zdrapka</v>
      </c>
      <c r="E18" s="60">
        <f t="shared" ca="1" si="4"/>
        <v>40416.280700000003</v>
      </c>
      <c r="F18" s="55">
        <f t="shared" ca="1" si="5"/>
        <v>118.4</v>
      </c>
      <c r="G18" s="40"/>
    </row>
    <row r="19" spans="1:7" ht="15" customHeight="1">
      <c r="A19" s="46" t="str">
        <f t="shared" ca="1" si="0"/>
        <v>606167157</v>
      </c>
      <c r="B19" s="43">
        <f t="shared" ca="1" si="1"/>
        <v>206.3</v>
      </c>
      <c r="C19" s="44">
        <f t="shared" ca="1" si="2"/>
        <v>3</v>
      </c>
      <c r="D19" s="45" t="str">
        <f t="shared" ca="1" si="3"/>
        <v>bankomat</v>
      </c>
      <c r="E19" s="60">
        <f t="shared" ca="1" si="4"/>
        <v>40292.395400000001</v>
      </c>
      <c r="F19" s="55">
        <f t="shared" ca="1" si="5"/>
        <v>206.3</v>
      </c>
      <c r="G19" s="40"/>
    </row>
    <row r="20" spans="1:7" ht="15" customHeight="1">
      <c r="A20" s="46" t="str">
        <f t="shared" ca="1" si="0"/>
        <v>604356512</v>
      </c>
      <c r="B20" s="43">
        <f t="shared" ca="1" si="1"/>
        <v>111.9</v>
      </c>
      <c r="C20" s="44">
        <f t="shared" ca="1" si="2"/>
        <v>1</v>
      </c>
      <c r="D20" s="45" t="str">
        <f t="shared" ca="1" si="3"/>
        <v>internet</v>
      </c>
      <c r="E20" s="60">
        <f t="shared" ca="1" si="4"/>
        <v>40513.635699999999</v>
      </c>
      <c r="F20" s="55">
        <f t="shared" ca="1" si="5"/>
        <v>123.09000000000002</v>
      </c>
      <c r="G20" s="40"/>
    </row>
    <row r="21" spans="1:7" ht="15" customHeight="1">
      <c r="A21" s="46" t="str">
        <f t="shared" ca="1" si="0"/>
        <v>606660952</v>
      </c>
      <c r="B21" s="43">
        <f t="shared" ca="1" si="1"/>
        <v>106.1</v>
      </c>
      <c r="C21" s="44">
        <f t="shared" ca="1" si="2"/>
        <v>2</v>
      </c>
      <c r="D21" s="45" t="str">
        <f t="shared" ca="1" si="3"/>
        <v>zdrapka</v>
      </c>
      <c r="E21" s="60">
        <f t="shared" ca="1" si="4"/>
        <v>40359.267599999999</v>
      </c>
      <c r="F21" s="55">
        <f t="shared" ca="1" si="5"/>
        <v>106.1</v>
      </c>
      <c r="G21" s="40"/>
    </row>
    <row r="22" spans="1:7" ht="15" customHeight="1">
      <c r="A22" s="46" t="str">
        <f t="shared" ca="1" si="0"/>
        <v>608165702</v>
      </c>
      <c r="B22" s="43">
        <f t="shared" ca="1" si="1"/>
        <v>147.19999999999999</v>
      </c>
      <c r="C22" s="44">
        <f t="shared" ca="1" si="2"/>
        <v>3</v>
      </c>
      <c r="D22" s="45" t="str">
        <f t="shared" ca="1" si="3"/>
        <v>bankomat</v>
      </c>
      <c r="E22" s="60">
        <f t="shared" ca="1" si="4"/>
        <v>40493.627500000002</v>
      </c>
      <c r="F22" s="55">
        <f t="shared" ca="1" si="5"/>
        <v>147.19999999999999</v>
      </c>
    </row>
    <row r="23" spans="1:7" ht="15" customHeight="1">
      <c r="A23" s="46" t="str">
        <f t="shared" ca="1" si="0"/>
        <v>606119049</v>
      </c>
      <c r="B23" s="43">
        <f t="shared" ca="1" si="1"/>
        <v>135.9</v>
      </c>
      <c r="C23" s="44">
        <f t="shared" ca="1" si="2"/>
        <v>1</v>
      </c>
      <c r="D23" s="45" t="str">
        <f t="shared" ca="1" si="3"/>
        <v>internet</v>
      </c>
      <c r="E23" s="60">
        <f t="shared" ca="1" si="4"/>
        <v>40200.415800000002</v>
      </c>
      <c r="F23" s="55">
        <f t="shared" ca="1" si="5"/>
        <v>149.49</v>
      </c>
    </row>
    <row r="24" spans="1:7" ht="15" customHeight="1">
      <c r="A24" s="46" t="str">
        <f t="shared" ca="1" si="0"/>
        <v>602512434</v>
      </c>
      <c r="B24" s="43">
        <f t="shared" ca="1" si="1"/>
        <v>205.1</v>
      </c>
      <c r="C24" s="44">
        <f t="shared" ca="1" si="2"/>
        <v>2</v>
      </c>
      <c r="D24" s="45" t="str">
        <f t="shared" ca="1" si="3"/>
        <v>zdrapka</v>
      </c>
      <c r="E24" s="60">
        <f t="shared" ca="1" si="4"/>
        <v>40431.231200000002</v>
      </c>
      <c r="F24" s="55">
        <f t="shared" ca="1" si="5"/>
        <v>205.1</v>
      </c>
    </row>
    <row r="25" spans="1:7" ht="15" customHeight="1">
      <c r="A25" s="46" t="str">
        <f t="shared" ca="1" si="0"/>
        <v>608489033</v>
      </c>
      <c r="B25" s="43">
        <f t="shared" ca="1" si="1"/>
        <v>161.9</v>
      </c>
      <c r="C25" s="44">
        <f t="shared" ca="1" si="2"/>
        <v>2</v>
      </c>
      <c r="D25" s="45" t="str">
        <f t="shared" ca="1" si="3"/>
        <v>zdrapka</v>
      </c>
      <c r="E25" s="60">
        <f t="shared" ca="1" si="4"/>
        <v>40389.258300000001</v>
      </c>
      <c r="F25" s="55">
        <f t="shared" ca="1" si="5"/>
        <v>161.9</v>
      </c>
    </row>
    <row r="26" spans="1:7" ht="15" customHeight="1">
      <c r="A26" s="46" t="str">
        <f t="shared" ca="1" si="0"/>
        <v>608114458</v>
      </c>
      <c r="B26" s="43">
        <f t="shared" ca="1" si="1"/>
        <v>36.299999999999997</v>
      </c>
      <c r="C26" s="44">
        <f t="shared" ca="1" si="2"/>
        <v>2</v>
      </c>
      <c r="D26" s="45" t="str">
        <f t="shared" ca="1" si="3"/>
        <v>zdrapka</v>
      </c>
      <c r="E26" s="60">
        <f t="shared" ca="1" si="4"/>
        <v>40518.082699999999</v>
      </c>
      <c r="F26" s="55">
        <f t="shared" ca="1" si="5"/>
        <v>36.299999999999997</v>
      </c>
    </row>
    <row r="27" spans="1:7" ht="15">
      <c r="A27" s="46" t="str">
        <f t="shared" ca="1" si="0"/>
        <v>606191455</v>
      </c>
      <c r="B27" s="43">
        <f ca="1">ROUND(RAND()*200+10,1)</f>
        <v>76.5</v>
      </c>
      <c r="C27" s="44">
        <f ca="1">ROUND(RAND()*2+1,0)</f>
        <v>1</v>
      </c>
      <c r="D27" s="45" t="str">
        <f t="shared" ca="1" si="3"/>
        <v>internet</v>
      </c>
      <c r="E27" s="60">
        <f t="shared" ca="1" si="4"/>
        <v>40243.489800000003</v>
      </c>
      <c r="F27" s="55">
        <f t="shared" ca="1" si="5"/>
        <v>84.15</v>
      </c>
    </row>
    <row r="28" spans="1:7" ht="15">
      <c r="A28" s="46" t="str">
        <f t="shared" ca="1" si="0"/>
        <v>602247389</v>
      </c>
      <c r="B28" s="43">
        <f t="shared" ref="B28:B51" ca="1" si="6">ROUND(RAND()*200+10,1)</f>
        <v>153.5</v>
      </c>
      <c r="C28" s="44">
        <f t="shared" ref="C28:C51" ca="1" si="7">ROUND(RAND()*2+1,0)</f>
        <v>2</v>
      </c>
      <c r="D28" s="45" t="str">
        <f t="shared" ca="1" si="3"/>
        <v>zdrapka</v>
      </c>
      <c r="E28" s="60">
        <f t="shared" ca="1" si="4"/>
        <v>40484.547200000001</v>
      </c>
      <c r="F28" s="55">
        <f t="shared" ca="1" si="5"/>
        <v>153.5</v>
      </c>
    </row>
    <row r="29" spans="1:7" ht="15">
      <c r="A29" s="46" t="str">
        <f t="shared" ca="1" si="0"/>
        <v>604885573</v>
      </c>
      <c r="B29" s="43">
        <f t="shared" ca="1" si="6"/>
        <v>30.9</v>
      </c>
      <c r="C29" s="44">
        <f t="shared" ca="1" si="7"/>
        <v>2</v>
      </c>
      <c r="D29" s="45" t="str">
        <f t="shared" ca="1" si="3"/>
        <v>zdrapka</v>
      </c>
      <c r="E29" s="60">
        <f t="shared" ca="1" si="4"/>
        <v>40184.818399999996</v>
      </c>
      <c r="F29" s="55">
        <f t="shared" ca="1" si="5"/>
        <v>30.9</v>
      </c>
    </row>
    <row r="30" spans="1:7" ht="15">
      <c r="A30" s="46" t="str">
        <f t="shared" ca="1" si="0"/>
        <v>604512207</v>
      </c>
      <c r="B30" s="43">
        <f t="shared" ca="1" si="6"/>
        <v>54</v>
      </c>
      <c r="C30" s="44">
        <f t="shared" ca="1" si="7"/>
        <v>2</v>
      </c>
      <c r="D30" s="45" t="str">
        <f t="shared" ca="1" si="3"/>
        <v>zdrapka</v>
      </c>
      <c r="E30" s="60">
        <f t="shared" ca="1" si="4"/>
        <v>40398.894099999998</v>
      </c>
      <c r="F30" s="55">
        <f t="shared" ca="1" si="5"/>
        <v>54</v>
      </c>
    </row>
    <row r="31" spans="1:7" ht="15">
      <c r="A31" s="46" t="str">
        <f t="shared" ca="1" si="0"/>
        <v>608257968</v>
      </c>
      <c r="B31" s="43">
        <f t="shared" ca="1" si="6"/>
        <v>107.9</v>
      </c>
      <c r="C31" s="44">
        <f t="shared" ca="1" si="7"/>
        <v>2</v>
      </c>
      <c r="D31" s="45" t="str">
        <f t="shared" ca="1" si="3"/>
        <v>zdrapka</v>
      </c>
      <c r="E31" s="60">
        <f t="shared" ca="1" si="4"/>
        <v>40385.795100000003</v>
      </c>
      <c r="F31" s="55">
        <f t="shared" ca="1" si="5"/>
        <v>107.9</v>
      </c>
    </row>
    <row r="32" spans="1:7" ht="15">
      <c r="A32" s="46" t="str">
        <f t="shared" ca="1" si="0"/>
        <v>604158104</v>
      </c>
      <c r="B32" s="43">
        <f t="shared" ca="1" si="6"/>
        <v>146.19999999999999</v>
      </c>
      <c r="C32" s="44">
        <f t="shared" ca="1" si="7"/>
        <v>2</v>
      </c>
      <c r="D32" s="45" t="str">
        <f t="shared" ca="1" si="3"/>
        <v>zdrapka</v>
      </c>
      <c r="E32" s="60">
        <f t="shared" ca="1" si="4"/>
        <v>40255.708899999998</v>
      </c>
      <c r="F32" s="55">
        <f t="shared" ca="1" si="5"/>
        <v>146.19999999999999</v>
      </c>
    </row>
    <row r="33" spans="1:6" ht="15">
      <c r="A33" s="46" t="str">
        <f t="shared" ca="1" si="0"/>
        <v>602221298</v>
      </c>
      <c r="B33" s="43">
        <f t="shared" ca="1" si="6"/>
        <v>150.80000000000001</v>
      </c>
      <c r="C33" s="44">
        <f t="shared" ca="1" si="7"/>
        <v>2</v>
      </c>
      <c r="D33" s="45" t="str">
        <f t="shared" ca="1" si="3"/>
        <v>zdrapka</v>
      </c>
      <c r="E33" s="60">
        <f t="shared" ca="1" si="4"/>
        <v>40348.715300000003</v>
      </c>
      <c r="F33" s="55">
        <f t="shared" ca="1" si="5"/>
        <v>150.80000000000001</v>
      </c>
    </row>
    <row r="34" spans="1:6" ht="15">
      <c r="A34" s="46" t="str">
        <f t="shared" ca="1" si="0"/>
        <v>602685409</v>
      </c>
      <c r="B34" s="43">
        <f t="shared" ca="1" si="6"/>
        <v>185.5</v>
      </c>
      <c r="C34" s="44">
        <f t="shared" ca="1" si="7"/>
        <v>2</v>
      </c>
      <c r="D34" s="45" t="str">
        <f t="shared" ca="1" si="3"/>
        <v>zdrapka</v>
      </c>
      <c r="E34" s="60">
        <f t="shared" ca="1" si="4"/>
        <v>40254.964800000002</v>
      </c>
      <c r="F34" s="55">
        <f t="shared" ca="1" si="5"/>
        <v>185.5</v>
      </c>
    </row>
    <row r="35" spans="1:6" ht="15">
      <c r="A35" s="46" t="str">
        <f t="shared" ca="1" si="0"/>
        <v>600134532</v>
      </c>
      <c r="B35" s="43">
        <f t="shared" ca="1" si="6"/>
        <v>118.8</v>
      </c>
      <c r="C35" s="44">
        <f t="shared" ca="1" si="7"/>
        <v>1</v>
      </c>
      <c r="D35" s="45" t="str">
        <f t="shared" ca="1" si="3"/>
        <v>internet</v>
      </c>
      <c r="E35" s="60">
        <f t="shared" ca="1" si="4"/>
        <v>40485.620000000003</v>
      </c>
      <c r="F35" s="55">
        <f t="shared" ca="1" si="5"/>
        <v>130.68</v>
      </c>
    </row>
    <row r="36" spans="1:6" ht="15">
      <c r="A36" s="46" t="str">
        <f t="shared" ca="1" si="0"/>
        <v>608796981</v>
      </c>
      <c r="B36" s="43">
        <f t="shared" ca="1" si="6"/>
        <v>151.69999999999999</v>
      </c>
      <c r="C36" s="44">
        <f t="shared" ca="1" si="7"/>
        <v>2</v>
      </c>
      <c r="D36" s="45" t="str">
        <f t="shared" ca="1" si="3"/>
        <v>zdrapka</v>
      </c>
      <c r="E36" s="60">
        <f t="shared" ca="1" si="4"/>
        <v>40349.640800000001</v>
      </c>
      <c r="F36" s="55">
        <f t="shared" ca="1" si="5"/>
        <v>151.69999999999999</v>
      </c>
    </row>
    <row r="37" spans="1:6" ht="15">
      <c r="A37" s="46" t="str">
        <f t="shared" ca="1" si="0"/>
        <v>600416629</v>
      </c>
      <c r="B37" s="43">
        <f t="shared" ca="1" si="6"/>
        <v>188.7</v>
      </c>
      <c r="C37" s="44">
        <f t="shared" ca="1" si="7"/>
        <v>1</v>
      </c>
      <c r="D37" s="45" t="str">
        <f t="shared" ca="1" si="3"/>
        <v>internet</v>
      </c>
      <c r="E37" s="60">
        <f t="shared" ca="1" si="4"/>
        <v>40258.705800000003</v>
      </c>
      <c r="F37" s="55">
        <f t="shared" ca="1" si="5"/>
        <v>207.57</v>
      </c>
    </row>
    <row r="38" spans="1:6" ht="15">
      <c r="A38" s="46" t="str">
        <f t="shared" ca="1" si="0"/>
        <v>604239080</v>
      </c>
      <c r="B38" s="43">
        <f t="shared" ca="1" si="6"/>
        <v>23.4</v>
      </c>
      <c r="C38" s="44">
        <f t="shared" ca="1" si="7"/>
        <v>2</v>
      </c>
      <c r="D38" s="45" t="str">
        <f t="shared" ca="1" si="3"/>
        <v>zdrapka</v>
      </c>
      <c r="E38" s="60">
        <f t="shared" ca="1" si="4"/>
        <v>40224.0982</v>
      </c>
      <c r="F38" s="55">
        <f t="shared" ca="1" si="5"/>
        <v>23.4</v>
      </c>
    </row>
    <row r="39" spans="1:6" ht="15">
      <c r="A39" s="46" t="str">
        <f t="shared" ca="1" si="0"/>
        <v>602196616</v>
      </c>
      <c r="B39" s="43">
        <f t="shared" ca="1" si="6"/>
        <v>63.3</v>
      </c>
      <c r="C39" s="44">
        <f t="shared" ca="1" si="7"/>
        <v>2</v>
      </c>
      <c r="D39" s="45" t="str">
        <f t="shared" ca="1" si="3"/>
        <v>zdrapka</v>
      </c>
      <c r="E39" s="60">
        <f t="shared" ca="1" si="4"/>
        <v>40356.746299999999</v>
      </c>
      <c r="F39" s="55">
        <f t="shared" ca="1" si="5"/>
        <v>63.3</v>
      </c>
    </row>
    <row r="40" spans="1:6" ht="15">
      <c r="A40" s="46" t="str">
        <f t="shared" ca="1" si="0"/>
        <v>606887492</v>
      </c>
      <c r="B40" s="43">
        <f t="shared" ca="1" si="6"/>
        <v>25.5</v>
      </c>
      <c r="C40" s="44">
        <f t="shared" ca="1" si="7"/>
        <v>2</v>
      </c>
      <c r="D40" s="45" t="str">
        <f t="shared" ca="1" si="3"/>
        <v>zdrapka</v>
      </c>
      <c r="E40" s="60">
        <f t="shared" ca="1" si="4"/>
        <v>40282.008000000002</v>
      </c>
      <c r="F40" s="55">
        <f t="shared" ca="1" si="5"/>
        <v>25.5</v>
      </c>
    </row>
    <row r="41" spans="1:6" ht="15">
      <c r="A41" s="46" t="str">
        <f t="shared" ca="1" si="0"/>
        <v>604267031</v>
      </c>
      <c r="B41" s="43">
        <f t="shared" ca="1" si="6"/>
        <v>117.5</v>
      </c>
      <c r="C41" s="44">
        <f t="shared" ca="1" si="7"/>
        <v>3</v>
      </c>
      <c r="D41" s="45" t="str">
        <f t="shared" ca="1" si="3"/>
        <v>bankomat</v>
      </c>
      <c r="E41" s="60">
        <f t="shared" ca="1" si="4"/>
        <v>40274.007100000003</v>
      </c>
      <c r="F41" s="55">
        <f t="shared" ca="1" si="5"/>
        <v>117.5</v>
      </c>
    </row>
    <row r="42" spans="1:6" ht="15">
      <c r="A42" s="46" t="str">
        <f t="shared" ca="1" si="0"/>
        <v>604673735</v>
      </c>
      <c r="B42" s="43">
        <f t="shared" ca="1" si="6"/>
        <v>27.8</v>
      </c>
      <c r="C42" s="44">
        <f t="shared" ca="1" si="7"/>
        <v>2</v>
      </c>
      <c r="D42" s="45" t="str">
        <f t="shared" ca="1" si="3"/>
        <v>zdrapka</v>
      </c>
      <c r="E42" s="60">
        <f t="shared" ca="1" si="4"/>
        <v>40455.341399999998</v>
      </c>
      <c r="F42" s="55">
        <f t="shared" ca="1" si="5"/>
        <v>27.8</v>
      </c>
    </row>
    <row r="43" spans="1:6" ht="15">
      <c r="A43" s="46" t="str">
        <f t="shared" ca="1" si="0"/>
        <v>604565330</v>
      </c>
      <c r="B43" s="43">
        <f t="shared" ca="1" si="6"/>
        <v>96.9</v>
      </c>
      <c r="C43" s="44">
        <f t="shared" ca="1" si="7"/>
        <v>3</v>
      </c>
      <c r="D43" s="45" t="str">
        <f t="shared" ca="1" si="3"/>
        <v>bankomat</v>
      </c>
      <c r="E43" s="60">
        <f t="shared" ca="1" si="4"/>
        <v>40401.608899999999</v>
      </c>
      <c r="F43" s="55">
        <f t="shared" ca="1" si="5"/>
        <v>96.9</v>
      </c>
    </row>
    <row r="44" spans="1:6" ht="15">
      <c r="A44" s="46" t="str">
        <f t="shared" ca="1" si="0"/>
        <v>604293734</v>
      </c>
      <c r="B44" s="43">
        <f t="shared" ca="1" si="6"/>
        <v>17.899999999999999</v>
      </c>
      <c r="C44" s="44">
        <f t="shared" ca="1" si="7"/>
        <v>2</v>
      </c>
      <c r="D44" s="45" t="str">
        <f t="shared" ca="1" si="3"/>
        <v>zdrapka</v>
      </c>
      <c r="E44" s="60">
        <f t="shared" ca="1" si="4"/>
        <v>40281.2255</v>
      </c>
      <c r="F44" s="55">
        <f t="shared" ca="1" si="5"/>
        <v>17.899999999999999</v>
      </c>
    </row>
    <row r="45" spans="1:6" ht="15">
      <c r="A45" s="46" t="str">
        <f t="shared" ca="1" si="0"/>
        <v>608839568</v>
      </c>
      <c r="B45" s="43">
        <f t="shared" ca="1" si="6"/>
        <v>166.6</v>
      </c>
      <c r="C45" s="44">
        <f t="shared" ca="1" si="7"/>
        <v>2</v>
      </c>
      <c r="D45" s="45" t="str">
        <f t="shared" ca="1" si="3"/>
        <v>zdrapka</v>
      </c>
      <c r="E45" s="60">
        <f t="shared" ca="1" si="4"/>
        <v>40443.801700000004</v>
      </c>
      <c r="F45" s="55">
        <f t="shared" ca="1" si="5"/>
        <v>166.6</v>
      </c>
    </row>
    <row r="46" spans="1:6" ht="15">
      <c r="A46" s="46" t="str">
        <f t="shared" ca="1" si="0"/>
        <v>608288935</v>
      </c>
      <c r="B46" s="43">
        <f t="shared" ca="1" si="6"/>
        <v>158</v>
      </c>
      <c r="C46" s="44">
        <f t="shared" ca="1" si="7"/>
        <v>3</v>
      </c>
      <c r="D46" s="45" t="str">
        <f t="shared" ca="1" si="3"/>
        <v>bankomat</v>
      </c>
      <c r="E46" s="60">
        <f t="shared" ca="1" si="4"/>
        <v>40272.727800000001</v>
      </c>
      <c r="F46" s="55">
        <f t="shared" ca="1" si="5"/>
        <v>158</v>
      </c>
    </row>
    <row r="47" spans="1:6" ht="15">
      <c r="A47" s="46" t="str">
        <f t="shared" ca="1" si="0"/>
        <v>602347614</v>
      </c>
      <c r="B47" s="43">
        <f t="shared" ca="1" si="6"/>
        <v>123.8</v>
      </c>
      <c r="C47" s="44">
        <f t="shared" ca="1" si="7"/>
        <v>3</v>
      </c>
      <c r="D47" s="45" t="str">
        <f t="shared" ca="1" si="3"/>
        <v>bankomat</v>
      </c>
      <c r="E47" s="60">
        <f t="shared" ca="1" si="4"/>
        <v>40421.912700000001</v>
      </c>
      <c r="F47" s="55">
        <f t="shared" ca="1" si="5"/>
        <v>123.8</v>
      </c>
    </row>
    <row r="48" spans="1:6" ht="15">
      <c r="A48" s="46" t="str">
        <f t="shared" ca="1" si="0"/>
        <v>608405747</v>
      </c>
      <c r="B48" s="43">
        <f t="shared" ca="1" si="6"/>
        <v>155.19999999999999</v>
      </c>
      <c r="C48" s="44">
        <f t="shared" ca="1" si="7"/>
        <v>1</v>
      </c>
      <c r="D48" s="45" t="str">
        <f t="shared" ca="1" si="3"/>
        <v>internet</v>
      </c>
      <c r="E48" s="60">
        <f t="shared" ca="1" si="4"/>
        <v>40220.029699999999</v>
      </c>
      <c r="F48" s="55">
        <f t="shared" ca="1" si="5"/>
        <v>170.72</v>
      </c>
    </row>
    <row r="49" spans="1:6" ht="15">
      <c r="A49" s="46" t="str">
        <f t="shared" ca="1" si="0"/>
        <v>604349722</v>
      </c>
      <c r="B49" s="43">
        <f t="shared" ca="1" si="6"/>
        <v>41.5</v>
      </c>
      <c r="C49" s="44">
        <f t="shared" ca="1" si="7"/>
        <v>3</v>
      </c>
      <c r="D49" s="45" t="str">
        <f t="shared" ca="1" si="3"/>
        <v>bankomat</v>
      </c>
      <c r="E49" s="60">
        <f t="shared" ca="1" si="4"/>
        <v>40222.0265</v>
      </c>
      <c r="F49" s="55">
        <f t="shared" ca="1" si="5"/>
        <v>41.5</v>
      </c>
    </row>
    <row r="50" spans="1:6" ht="15">
      <c r="A50" s="46" t="str">
        <f t="shared" ca="1" si="0"/>
        <v>608449658</v>
      </c>
      <c r="B50" s="43">
        <f t="shared" ca="1" si="6"/>
        <v>166.7</v>
      </c>
      <c r="C50" s="44">
        <f t="shared" ca="1" si="7"/>
        <v>3</v>
      </c>
      <c r="D50" s="45" t="str">
        <f t="shared" ca="1" si="3"/>
        <v>bankomat</v>
      </c>
      <c r="E50" s="60">
        <f t="shared" ca="1" si="4"/>
        <v>40199.566099999996</v>
      </c>
      <c r="F50" s="55">
        <f t="shared" ca="1" si="5"/>
        <v>166.7</v>
      </c>
    </row>
    <row r="51" spans="1:6" ht="15.75" thickBot="1">
      <c r="A51" s="47" t="str">
        <f t="shared" ca="1" si="0"/>
        <v>608699839</v>
      </c>
      <c r="B51" s="48">
        <f t="shared" ca="1" si="6"/>
        <v>114.4</v>
      </c>
      <c r="C51" s="49">
        <f t="shared" ca="1" si="7"/>
        <v>2</v>
      </c>
      <c r="D51" s="50" t="str">
        <f t="shared" ca="1" si="3"/>
        <v>zdrapka</v>
      </c>
      <c r="E51" s="61">
        <f t="shared" ca="1" si="4"/>
        <v>40528.960299999999</v>
      </c>
      <c r="F51" s="55">
        <f t="shared" ca="1" si="5"/>
        <v>114.4</v>
      </c>
    </row>
  </sheetData>
  <customSheetViews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tabSelected="1" topLeftCell="A12" workbookViewId="0">
      <selection activeCell="E2" sqref="E2:E51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58" t="s">
        <v>86</v>
      </c>
      <c r="B1" s="62" t="s">
        <v>94</v>
      </c>
      <c r="C1" s="56" t="s">
        <v>95</v>
      </c>
      <c r="D1" s="56" t="s">
        <v>92</v>
      </c>
      <c r="E1" s="57" t="s">
        <v>96</v>
      </c>
      <c r="Q1">
        <v>1</v>
      </c>
      <c r="R1" t="s">
        <v>89</v>
      </c>
    </row>
    <row r="2" spans="1:18" ht="15" customHeight="1">
      <c r="A2" s="51" t="str">
        <f ca="1">"88"&amp;2*ROUND(RAND()*4,0)&amp;ROUND(RAND()*800000+100000,0)</f>
        <v>882222053</v>
      </c>
      <c r="B2" s="63">
        <f ca="1">IF(RAND()&lt;0.7,20,5)</f>
        <v>20</v>
      </c>
      <c r="C2" s="52">
        <f ca="1">ROUND(RAND()*200+10,1)</f>
        <v>146.4</v>
      </c>
      <c r="D2" s="59">
        <f ca="1">ROUND(RAND()*365+40179,4)</f>
        <v>40212.627999999997</v>
      </c>
      <c r="E2" s="55">
        <f ca="1">IF(B2=20, B2 + (2 *C2),B2+C2)</f>
        <v>312.8</v>
      </c>
      <c r="F2" s="42"/>
      <c r="Q2">
        <v>2</v>
      </c>
      <c r="R2" t="s">
        <v>90</v>
      </c>
    </row>
    <row r="3" spans="1:18" ht="15" customHeight="1">
      <c r="A3" s="51" t="str">
        <f t="shared" ref="A3:A51" ca="1" si="0">"88"&amp;2*ROUND(RAND()*4,0)&amp;ROUND(RAND()*800000+100000,0)</f>
        <v>882778040</v>
      </c>
      <c r="B3" s="63">
        <f t="shared" ref="B3:B51" ca="1" si="1">IF(RAND()&lt;0.7,20,5)</f>
        <v>20</v>
      </c>
      <c r="C3" s="43">
        <f t="shared" ref="C3:C26" ca="1" si="2">ROUND(RAND()*200+10,1)</f>
        <v>111.6</v>
      </c>
      <c r="D3" s="60">
        <f t="shared" ref="D3:D51" ca="1" si="3">ROUND(RAND()*365+40179,4)</f>
        <v>40353.585500000001</v>
      </c>
      <c r="E3" s="55">
        <f t="shared" ref="E3:E51" ca="1" si="4">IF(B3=20, B3 + (2 *C3),B3+C3)</f>
        <v>243.2</v>
      </c>
      <c r="Q3">
        <v>3</v>
      </c>
      <c r="R3" t="s">
        <v>91</v>
      </c>
    </row>
    <row r="4" spans="1:18" ht="15" customHeight="1">
      <c r="A4" s="51" t="str">
        <f t="shared" ca="1" si="0"/>
        <v>880882451</v>
      </c>
      <c r="B4" s="63">
        <f t="shared" ca="1" si="1"/>
        <v>20</v>
      </c>
      <c r="C4" s="43">
        <f t="shared" ca="1" si="2"/>
        <v>169.5</v>
      </c>
      <c r="D4" s="60">
        <f t="shared" ca="1" si="3"/>
        <v>40360.326099999998</v>
      </c>
      <c r="E4" s="55">
        <f t="shared" ca="1" si="4"/>
        <v>359</v>
      </c>
    </row>
    <row r="5" spans="1:18" ht="15" customHeight="1">
      <c r="A5" s="51" t="str">
        <f t="shared" ca="1" si="0"/>
        <v>888552236</v>
      </c>
      <c r="B5" s="63">
        <f t="shared" ca="1" si="1"/>
        <v>20</v>
      </c>
      <c r="C5" s="43">
        <f t="shared" ca="1" si="2"/>
        <v>26</v>
      </c>
      <c r="D5" s="60">
        <f t="shared" ca="1" si="3"/>
        <v>40520.196799999998</v>
      </c>
      <c r="E5" s="55">
        <f t="shared" ca="1" si="4"/>
        <v>72</v>
      </c>
    </row>
    <row r="6" spans="1:18" ht="15" customHeight="1">
      <c r="A6" s="51" t="str">
        <f t="shared" ca="1" si="0"/>
        <v>880336446</v>
      </c>
      <c r="B6" s="63">
        <f t="shared" ca="1" si="1"/>
        <v>5</v>
      </c>
      <c r="C6" s="43">
        <f t="shared" ca="1" si="2"/>
        <v>163</v>
      </c>
      <c r="D6" s="60">
        <f t="shared" ca="1" si="3"/>
        <v>40533.051899999999</v>
      </c>
      <c r="E6" s="55">
        <f t="shared" ca="1" si="4"/>
        <v>168</v>
      </c>
    </row>
    <row r="7" spans="1:18" ht="15" customHeight="1">
      <c r="A7" s="51" t="str">
        <f t="shared" ca="1" si="0"/>
        <v>884896948</v>
      </c>
      <c r="B7" s="63">
        <f t="shared" ca="1" si="1"/>
        <v>20</v>
      </c>
      <c r="C7" s="43">
        <f t="shared" ca="1" si="2"/>
        <v>66.3</v>
      </c>
      <c r="D7" s="60">
        <f t="shared" ca="1" si="3"/>
        <v>40453.280899999998</v>
      </c>
      <c r="E7" s="55">
        <f t="shared" ca="1" si="4"/>
        <v>152.6</v>
      </c>
    </row>
    <row r="8" spans="1:18" ht="15" customHeight="1">
      <c r="A8" s="51" t="str">
        <f t="shared" ca="1" si="0"/>
        <v>886306442</v>
      </c>
      <c r="B8" s="63">
        <f t="shared" ca="1" si="1"/>
        <v>20</v>
      </c>
      <c r="C8" s="43">
        <f t="shared" ca="1" si="2"/>
        <v>122.1</v>
      </c>
      <c r="D8" s="60">
        <f t="shared" ca="1" si="3"/>
        <v>40460.565999999999</v>
      </c>
      <c r="E8" s="55">
        <f t="shared" ca="1" si="4"/>
        <v>264.2</v>
      </c>
    </row>
    <row r="9" spans="1:18" ht="15" customHeight="1">
      <c r="A9" s="51" t="str">
        <f t="shared" ca="1" si="0"/>
        <v>880775329</v>
      </c>
      <c r="B9" s="63">
        <f t="shared" ca="1" si="1"/>
        <v>20</v>
      </c>
      <c r="C9" s="43">
        <f t="shared" ca="1" si="2"/>
        <v>20.100000000000001</v>
      </c>
      <c r="D9" s="60">
        <f t="shared" ca="1" si="3"/>
        <v>40251.722399999999</v>
      </c>
      <c r="E9" s="55">
        <f t="shared" ca="1" si="4"/>
        <v>60.2</v>
      </c>
    </row>
    <row r="10" spans="1:18" ht="15" customHeight="1">
      <c r="A10" s="51" t="str">
        <f t="shared" ca="1" si="0"/>
        <v>880373191</v>
      </c>
      <c r="B10" s="63">
        <f t="shared" ca="1" si="1"/>
        <v>20</v>
      </c>
      <c r="C10" s="43">
        <f t="shared" ca="1" si="2"/>
        <v>161</v>
      </c>
      <c r="D10" s="60">
        <f t="shared" ca="1" si="3"/>
        <v>40206.4274</v>
      </c>
      <c r="E10" s="55">
        <f t="shared" ca="1" si="4"/>
        <v>342</v>
      </c>
    </row>
    <row r="11" spans="1:18" ht="15" customHeight="1">
      <c r="A11" s="51" t="str">
        <f t="shared" ca="1" si="0"/>
        <v>884331367</v>
      </c>
      <c r="B11" s="63">
        <f t="shared" ca="1" si="1"/>
        <v>5</v>
      </c>
      <c r="C11" s="43">
        <f t="shared" ca="1" si="2"/>
        <v>88.6</v>
      </c>
      <c r="D11" s="60">
        <f t="shared" ca="1" si="3"/>
        <v>40443.894200000002</v>
      </c>
      <c r="E11" s="55">
        <f t="shared" ca="1" si="4"/>
        <v>93.6</v>
      </c>
    </row>
    <row r="12" spans="1:18" ht="15" customHeight="1">
      <c r="A12" s="51" t="str">
        <f t="shared" ca="1" si="0"/>
        <v>886700291</v>
      </c>
      <c r="B12" s="63">
        <f t="shared" ca="1" si="1"/>
        <v>5</v>
      </c>
      <c r="C12" s="43">
        <f t="shared" ca="1" si="2"/>
        <v>186.9</v>
      </c>
      <c r="D12" s="60">
        <f t="shared" ca="1" si="3"/>
        <v>40439.295700000002</v>
      </c>
      <c r="E12" s="55">
        <f t="shared" ca="1" si="4"/>
        <v>191.9</v>
      </c>
    </row>
    <row r="13" spans="1:18" ht="15" customHeight="1">
      <c r="A13" s="51" t="str">
        <f t="shared" ca="1" si="0"/>
        <v>882728988</v>
      </c>
      <c r="B13" s="63">
        <f t="shared" ca="1" si="1"/>
        <v>20</v>
      </c>
      <c r="C13" s="43">
        <f t="shared" ca="1" si="2"/>
        <v>77.099999999999994</v>
      </c>
      <c r="D13" s="60">
        <f t="shared" ca="1" si="3"/>
        <v>40506.6659</v>
      </c>
      <c r="E13" s="55">
        <f t="shared" ca="1" si="4"/>
        <v>174.2</v>
      </c>
    </row>
    <row r="14" spans="1:18" ht="15" customHeight="1">
      <c r="A14" s="51" t="str">
        <f t="shared" ca="1" si="0"/>
        <v>886368368</v>
      </c>
      <c r="B14" s="63">
        <f t="shared" ca="1" si="1"/>
        <v>20</v>
      </c>
      <c r="C14" s="43">
        <f t="shared" ca="1" si="2"/>
        <v>142.6</v>
      </c>
      <c r="D14" s="60">
        <f t="shared" ca="1" si="3"/>
        <v>40490.217700000001</v>
      </c>
      <c r="E14" s="55">
        <f t="shared" ca="1" si="4"/>
        <v>305.2</v>
      </c>
    </row>
    <row r="15" spans="1:18" ht="15" customHeight="1">
      <c r="A15" s="51" t="str">
        <f t="shared" ca="1" si="0"/>
        <v>884614372</v>
      </c>
      <c r="B15" s="63">
        <f t="shared" ca="1" si="1"/>
        <v>20</v>
      </c>
      <c r="C15" s="43">
        <f t="shared" ca="1" si="2"/>
        <v>38.5</v>
      </c>
      <c r="D15" s="60">
        <f t="shared" ca="1" si="3"/>
        <v>40308.700599999996</v>
      </c>
      <c r="E15" s="55">
        <f t="shared" ca="1" si="4"/>
        <v>97</v>
      </c>
    </row>
    <row r="16" spans="1:18" ht="15" customHeight="1">
      <c r="A16" s="51" t="str">
        <f t="shared" ca="1" si="0"/>
        <v>884436298</v>
      </c>
      <c r="B16" s="63">
        <f t="shared" ca="1" si="1"/>
        <v>20</v>
      </c>
      <c r="C16" s="43">
        <f t="shared" ca="1" si="2"/>
        <v>110.6</v>
      </c>
      <c r="D16" s="60">
        <f t="shared" ca="1" si="3"/>
        <v>40295.200199999999</v>
      </c>
      <c r="E16" s="55">
        <f t="shared" ca="1" si="4"/>
        <v>241.2</v>
      </c>
      <c r="F16" s="40"/>
    </row>
    <row r="17" spans="1:6" ht="15" customHeight="1">
      <c r="A17" s="51" t="str">
        <f t="shared" ca="1" si="0"/>
        <v>886185663</v>
      </c>
      <c r="B17" s="63">
        <f t="shared" ca="1" si="1"/>
        <v>20</v>
      </c>
      <c r="C17" s="43">
        <f t="shared" ca="1" si="2"/>
        <v>139.19999999999999</v>
      </c>
      <c r="D17" s="60">
        <f t="shared" ca="1" si="3"/>
        <v>40449.989099999999</v>
      </c>
      <c r="E17" s="55">
        <f t="shared" ca="1" si="4"/>
        <v>298.39999999999998</v>
      </c>
      <c r="F17" s="40"/>
    </row>
    <row r="18" spans="1:6" ht="15" customHeight="1">
      <c r="A18" s="51" t="str">
        <f t="shared" ca="1" si="0"/>
        <v>882790470</v>
      </c>
      <c r="B18" s="63">
        <f t="shared" ca="1" si="1"/>
        <v>20</v>
      </c>
      <c r="C18" s="43">
        <f t="shared" ca="1" si="2"/>
        <v>60.7</v>
      </c>
      <c r="D18" s="60">
        <f t="shared" ca="1" si="3"/>
        <v>40475.801099999997</v>
      </c>
      <c r="E18" s="55">
        <f t="shared" ca="1" si="4"/>
        <v>141.4</v>
      </c>
      <c r="F18" s="40"/>
    </row>
    <row r="19" spans="1:6" ht="15" customHeight="1">
      <c r="A19" s="51" t="str">
        <f t="shared" ca="1" si="0"/>
        <v>884840285</v>
      </c>
      <c r="B19" s="63">
        <f t="shared" ca="1" si="1"/>
        <v>20</v>
      </c>
      <c r="C19" s="43">
        <f t="shared" ca="1" si="2"/>
        <v>83.4</v>
      </c>
      <c r="D19" s="60">
        <f t="shared" ca="1" si="3"/>
        <v>40368.903299999998</v>
      </c>
      <c r="E19" s="55">
        <f t="shared" ca="1" si="4"/>
        <v>186.8</v>
      </c>
      <c r="F19" s="40"/>
    </row>
    <row r="20" spans="1:6" ht="15" customHeight="1">
      <c r="A20" s="51" t="str">
        <f t="shared" ca="1" si="0"/>
        <v>884753910</v>
      </c>
      <c r="B20" s="63">
        <f t="shared" ca="1" si="1"/>
        <v>5</v>
      </c>
      <c r="C20" s="43">
        <f t="shared" ca="1" si="2"/>
        <v>100.4</v>
      </c>
      <c r="D20" s="60">
        <f t="shared" ca="1" si="3"/>
        <v>40415.9444</v>
      </c>
      <c r="E20" s="55">
        <f t="shared" ca="1" si="4"/>
        <v>105.4</v>
      </c>
      <c r="F20" s="40"/>
    </row>
    <row r="21" spans="1:6" ht="15" customHeight="1">
      <c r="A21" s="51" t="str">
        <f t="shared" ca="1" si="0"/>
        <v>888316010</v>
      </c>
      <c r="B21" s="63">
        <f t="shared" ca="1" si="1"/>
        <v>20</v>
      </c>
      <c r="C21" s="43">
        <f t="shared" ca="1" si="2"/>
        <v>107.4</v>
      </c>
      <c r="D21" s="60">
        <f t="shared" ca="1" si="3"/>
        <v>40262.232400000001</v>
      </c>
      <c r="E21" s="55">
        <f t="shared" ca="1" si="4"/>
        <v>234.8</v>
      </c>
      <c r="F21" s="40"/>
    </row>
    <row r="22" spans="1:6" ht="15" customHeight="1">
      <c r="A22" s="51" t="str">
        <f t="shared" ca="1" si="0"/>
        <v>882834110</v>
      </c>
      <c r="B22" s="63">
        <f t="shared" ca="1" si="1"/>
        <v>20</v>
      </c>
      <c r="C22" s="43">
        <f t="shared" ca="1" si="2"/>
        <v>80.099999999999994</v>
      </c>
      <c r="D22" s="60">
        <f t="shared" ca="1" si="3"/>
        <v>40303.161399999997</v>
      </c>
      <c r="E22" s="55">
        <f t="shared" ca="1" si="4"/>
        <v>180.2</v>
      </c>
    </row>
    <row r="23" spans="1:6" ht="15" customHeight="1">
      <c r="A23" s="51" t="str">
        <f t="shared" ca="1" si="0"/>
        <v>884651573</v>
      </c>
      <c r="B23" s="63">
        <f t="shared" ca="1" si="1"/>
        <v>20</v>
      </c>
      <c r="C23" s="43">
        <f t="shared" ca="1" si="2"/>
        <v>116</v>
      </c>
      <c r="D23" s="60">
        <f t="shared" ca="1" si="3"/>
        <v>40501.806100000002</v>
      </c>
      <c r="E23" s="55">
        <f t="shared" ca="1" si="4"/>
        <v>252</v>
      </c>
    </row>
    <row r="24" spans="1:6" ht="15" customHeight="1">
      <c r="A24" s="51" t="str">
        <f t="shared" ca="1" si="0"/>
        <v>882641704</v>
      </c>
      <c r="B24" s="63">
        <f t="shared" ca="1" si="1"/>
        <v>20</v>
      </c>
      <c r="C24" s="43">
        <f t="shared" ca="1" si="2"/>
        <v>161.1</v>
      </c>
      <c r="D24" s="60">
        <f t="shared" ca="1" si="3"/>
        <v>40299.583400000003</v>
      </c>
      <c r="E24" s="55">
        <f t="shared" ca="1" si="4"/>
        <v>342.2</v>
      </c>
    </row>
    <row r="25" spans="1:6" ht="15" customHeight="1">
      <c r="A25" s="51" t="str">
        <f t="shared" ca="1" si="0"/>
        <v>880700346</v>
      </c>
      <c r="B25" s="63">
        <f t="shared" ca="1" si="1"/>
        <v>20</v>
      </c>
      <c r="C25" s="43">
        <f t="shared" ca="1" si="2"/>
        <v>162.80000000000001</v>
      </c>
      <c r="D25" s="60">
        <f t="shared" ca="1" si="3"/>
        <v>40522.588199999998</v>
      </c>
      <c r="E25" s="55">
        <f t="shared" ca="1" si="4"/>
        <v>345.6</v>
      </c>
    </row>
    <row r="26" spans="1:6" ht="15" customHeight="1">
      <c r="A26" s="51" t="str">
        <f t="shared" ca="1" si="0"/>
        <v>884334927</v>
      </c>
      <c r="B26" s="63">
        <f t="shared" ca="1" si="1"/>
        <v>20</v>
      </c>
      <c r="C26" s="43">
        <f t="shared" ca="1" si="2"/>
        <v>29.3</v>
      </c>
      <c r="D26" s="60">
        <f t="shared" ca="1" si="3"/>
        <v>40396.502099999998</v>
      </c>
      <c r="E26" s="55">
        <f t="shared" ca="1" si="4"/>
        <v>78.599999999999994</v>
      </c>
    </row>
    <row r="27" spans="1:6" ht="15">
      <c r="A27" s="51" t="str">
        <f t="shared" ca="1" si="0"/>
        <v>880492130</v>
      </c>
      <c r="B27" s="63">
        <f t="shared" ca="1" si="1"/>
        <v>5</v>
      </c>
      <c r="C27" s="43">
        <f ca="1">ROUND(RAND()*200+10,1)</f>
        <v>63.5</v>
      </c>
      <c r="D27" s="60">
        <f t="shared" ca="1" si="3"/>
        <v>40268.165800000002</v>
      </c>
      <c r="E27" s="55">
        <f t="shared" ca="1" si="4"/>
        <v>68.5</v>
      </c>
    </row>
    <row r="28" spans="1:6" ht="15">
      <c r="A28" s="51" t="str">
        <f t="shared" ca="1" si="0"/>
        <v>880753543</v>
      </c>
      <c r="B28" s="63">
        <f t="shared" ca="1" si="1"/>
        <v>20</v>
      </c>
      <c r="C28" s="43">
        <f t="shared" ref="C28:C51" ca="1" si="5">ROUND(RAND()*200+10,1)</f>
        <v>169.7</v>
      </c>
      <c r="D28" s="60">
        <f t="shared" ca="1" si="3"/>
        <v>40181.315799999997</v>
      </c>
      <c r="E28" s="55">
        <f t="shared" ca="1" si="4"/>
        <v>359.4</v>
      </c>
    </row>
    <row r="29" spans="1:6" ht="15">
      <c r="A29" s="51" t="str">
        <f t="shared" ca="1" si="0"/>
        <v>886816153</v>
      </c>
      <c r="B29" s="63">
        <f t="shared" ca="1" si="1"/>
        <v>20</v>
      </c>
      <c r="C29" s="43">
        <f t="shared" ca="1" si="5"/>
        <v>141.1</v>
      </c>
      <c r="D29" s="60">
        <f t="shared" ca="1" si="3"/>
        <v>40229.4424</v>
      </c>
      <c r="E29" s="55">
        <f t="shared" ca="1" si="4"/>
        <v>302.2</v>
      </c>
    </row>
    <row r="30" spans="1:6" ht="15">
      <c r="A30" s="51" t="str">
        <f t="shared" ca="1" si="0"/>
        <v>880580214</v>
      </c>
      <c r="B30" s="63">
        <f t="shared" ca="1" si="1"/>
        <v>5</v>
      </c>
      <c r="C30" s="43">
        <f t="shared" ca="1" si="5"/>
        <v>28.5</v>
      </c>
      <c r="D30" s="60">
        <f t="shared" ca="1" si="3"/>
        <v>40282.993900000001</v>
      </c>
      <c r="E30" s="55">
        <f t="shared" ca="1" si="4"/>
        <v>33.5</v>
      </c>
    </row>
    <row r="31" spans="1:6" ht="15">
      <c r="A31" s="51" t="str">
        <f t="shared" ca="1" si="0"/>
        <v>880865626</v>
      </c>
      <c r="B31" s="63">
        <f t="shared" ca="1" si="1"/>
        <v>5</v>
      </c>
      <c r="C31" s="43">
        <f t="shared" ca="1" si="5"/>
        <v>166.6</v>
      </c>
      <c r="D31" s="60">
        <f t="shared" ca="1" si="3"/>
        <v>40434.101600000002</v>
      </c>
      <c r="E31" s="55">
        <f t="shared" ca="1" si="4"/>
        <v>171.6</v>
      </c>
    </row>
    <row r="32" spans="1:6" ht="15">
      <c r="A32" s="51" t="str">
        <f t="shared" ca="1" si="0"/>
        <v>886212945</v>
      </c>
      <c r="B32" s="63">
        <f t="shared" ca="1" si="1"/>
        <v>5</v>
      </c>
      <c r="C32" s="43">
        <f t="shared" ca="1" si="5"/>
        <v>57.1</v>
      </c>
      <c r="D32" s="60">
        <f t="shared" ca="1" si="3"/>
        <v>40392.486900000004</v>
      </c>
      <c r="E32" s="55">
        <f t="shared" ca="1" si="4"/>
        <v>62.1</v>
      </c>
    </row>
    <row r="33" spans="1:5" ht="15">
      <c r="A33" s="51" t="str">
        <f t="shared" ca="1" si="0"/>
        <v>884255695</v>
      </c>
      <c r="B33" s="63">
        <f t="shared" ca="1" si="1"/>
        <v>20</v>
      </c>
      <c r="C33" s="43">
        <f t="shared" ca="1" si="5"/>
        <v>129.1</v>
      </c>
      <c r="D33" s="60">
        <f t="shared" ca="1" si="3"/>
        <v>40377.934000000001</v>
      </c>
      <c r="E33" s="55">
        <f t="shared" ca="1" si="4"/>
        <v>278.2</v>
      </c>
    </row>
    <row r="34" spans="1:5" ht="15">
      <c r="A34" s="51" t="str">
        <f t="shared" ca="1" si="0"/>
        <v>882741811</v>
      </c>
      <c r="B34" s="63">
        <f t="shared" ca="1" si="1"/>
        <v>20</v>
      </c>
      <c r="C34" s="43">
        <f t="shared" ca="1" si="5"/>
        <v>106.3</v>
      </c>
      <c r="D34" s="60">
        <f t="shared" ca="1" si="3"/>
        <v>40341.057800000002</v>
      </c>
      <c r="E34" s="55">
        <f t="shared" ca="1" si="4"/>
        <v>232.6</v>
      </c>
    </row>
    <row r="35" spans="1:5" ht="15">
      <c r="A35" s="51" t="str">
        <f t="shared" ca="1" si="0"/>
        <v>886882217</v>
      </c>
      <c r="B35" s="63">
        <f t="shared" ca="1" si="1"/>
        <v>5</v>
      </c>
      <c r="C35" s="43">
        <f t="shared" ca="1" si="5"/>
        <v>169.1</v>
      </c>
      <c r="D35" s="60">
        <f t="shared" ca="1" si="3"/>
        <v>40541.666400000002</v>
      </c>
      <c r="E35" s="55">
        <f t="shared" ca="1" si="4"/>
        <v>174.1</v>
      </c>
    </row>
    <row r="36" spans="1:5" ht="15">
      <c r="A36" s="51" t="str">
        <f t="shared" ca="1" si="0"/>
        <v>884634663</v>
      </c>
      <c r="B36" s="63">
        <f t="shared" ca="1" si="1"/>
        <v>20</v>
      </c>
      <c r="C36" s="43">
        <f t="shared" ca="1" si="5"/>
        <v>35</v>
      </c>
      <c r="D36" s="60">
        <f t="shared" ca="1" si="3"/>
        <v>40491.616800000003</v>
      </c>
      <c r="E36" s="55">
        <f t="shared" ca="1" si="4"/>
        <v>90</v>
      </c>
    </row>
    <row r="37" spans="1:5" ht="15">
      <c r="A37" s="51" t="str">
        <f t="shared" ca="1" si="0"/>
        <v>884138222</v>
      </c>
      <c r="B37" s="63">
        <f t="shared" ca="1" si="1"/>
        <v>20</v>
      </c>
      <c r="C37" s="43">
        <f t="shared" ca="1" si="5"/>
        <v>85.2</v>
      </c>
      <c r="D37" s="60">
        <f t="shared" ca="1" si="3"/>
        <v>40238.2405</v>
      </c>
      <c r="E37" s="55">
        <f t="shared" ca="1" si="4"/>
        <v>190.4</v>
      </c>
    </row>
    <row r="38" spans="1:5" ht="15">
      <c r="A38" s="51" t="str">
        <f t="shared" ca="1" si="0"/>
        <v>880653737</v>
      </c>
      <c r="B38" s="63">
        <f t="shared" ca="1" si="1"/>
        <v>20</v>
      </c>
      <c r="C38" s="43">
        <f t="shared" ca="1" si="5"/>
        <v>36</v>
      </c>
      <c r="D38" s="60">
        <f t="shared" ca="1" si="3"/>
        <v>40392.397499999999</v>
      </c>
      <c r="E38" s="55">
        <f t="shared" ca="1" si="4"/>
        <v>92</v>
      </c>
    </row>
    <row r="39" spans="1:5" ht="15">
      <c r="A39" s="51" t="str">
        <f t="shared" ca="1" si="0"/>
        <v>888537357</v>
      </c>
      <c r="B39" s="63">
        <f t="shared" ca="1" si="1"/>
        <v>20</v>
      </c>
      <c r="C39" s="43">
        <f t="shared" ca="1" si="5"/>
        <v>129.1</v>
      </c>
      <c r="D39" s="60">
        <f t="shared" ca="1" si="3"/>
        <v>40528.098599999998</v>
      </c>
      <c r="E39" s="55">
        <f t="shared" ca="1" si="4"/>
        <v>278.2</v>
      </c>
    </row>
    <row r="40" spans="1:5" ht="15">
      <c r="A40" s="51" t="str">
        <f t="shared" ca="1" si="0"/>
        <v>884603951</v>
      </c>
      <c r="B40" s="63">
        <f t="shared" ca="1" si="1"/>
        <v>5</v>
      </c>
      <c r="C40" s="43">
        <f t="shared" ca="1" si="5"/>
        <v>74.3</v>
      </c>
      <c r="D40" s="60">
        <f t="shared" ca="1" si="3"/>
        <v>40283.187400000003</v>
      </c>
      <c r="E40" s="55">
        <f t="shared" ca="1" si="4"/>
        <v>79.3</v>
      </c>
    </row>
    <row r="41" spans="1:5" ht="15">
      <c r="A41" s="51" t="str">
        <f t="shared" ca="1" si="0"/>
        <v>884411099</v>
      </c>
      <c r="B41" s="63">
        <f t="shared" ca="1" si="1"/>
        <v>20</v>
      </c>
      <c r="C41" s="43">
        <f t="shared" ca="1" si="5"/>
        <v>103.1</v>
      </c>
      <c r="D41" s="60">
        <f t="shared" ca="1" si="3"/>
        <v>40329.272100000002</v>
      </c>
      <c r="E41" s="55">
        <f t="shared" ca="1" si="4"/>
        <v>226.2</v>
      </c>
    </row>
    <row r="42" spans="1:5" ht="15">
      <c r="A42" s="51" t="str">
        <f t="shared" ca="1" si="0"/>
        <v>882497869</v>
      </c>
      <c r="B42" s="63">
        <f t="shared" ca="1" si="1"/>
        <v>20</v>
      </c>
      <c r="C42" s="43">
        <f t="shared" ca="1" si="5"/>
        <v>193.6</v>
      </c>
      <c r="D42" s="60">
        <f t="shared" ca="1" si="3"/>
        <v>40494.228499999997</v>
      </c>
      <c r="E42" s="55">
        <f t="shared" ca="1" si="4"/>
        <v>407.2</v>
      </c>
    </row>
    <row r="43" spans="1:5" ht="15">
      <c r="A43" s="51" t="str">
        <f t="shared" ca="1" si="0"/>
        <v>882470173</v>
      </c>
      <c r="B43" s="63">
        <f t="shared" ca="1" si="1"/>
        <v>20</v>
      </c>
      <c r="C43" s="43">
        <f t="shared" ca="1" si="5"/>
        <v>26</v>
      </c>
      <c r="D43" s="60">
        <f t="shared" ca="1" si="3"/>
        <v>40336.582900000001</v>
      </c>
      <c r="E43" s="55">
        <f t="shared" ca="1" si="4"/>
        <v>72</v>
      </c>
    </row>
    <row r="44" spans="1:5" ht="15">
      <c r="A44" s="51" t="str">
        <f t="shared" ca="1" si="0"/>
        <v>882379779</v>
      </c>
      <c r="B44" s="63">
        <f t="shared" ca="1" si="1"/>
        <v>5</v>
      </c>
      <c r="C44" s="43">
        <f t="shared" ca="1" si="5"/>
        <v>19.2</v>
      </c>
      <c r="D44" s="60">
        <f t="shared" ca="1" si="3"/>
        <v>40480.134100000003</v>
      </c>
      <c r="E44" s="55">
        <f t="shared" ca="1" si="4"/>
        <v>24.2</v>
      </c>
    </row>
    <row r="45" spans="1:5" ht="15">
      <c r="A45" s="51" t="str">
        <f t="shared" ca="1" si="0"/>
        <v>884562675</v>
      </c>
      <c r="B45" s="63">
        <f t="shared" ca="1" si="1"/>
        <v>20</v>
      </c>
      <c r="C45" s="43">
        <f t="shared" ca="1" si="5"/>
        <v>194.9</v>
      </c>
      <c r="D45" s="60">
        <f t="shared" ca="1" si="3"/>
        <v>40327.336199999998</v>
      </c>
      <c r="E45" s="55">
        <f t="shared" ca="1" si="4"/>
        <v>409.8</v>
      </c>
    </row>
    <row r="46" spans="1:5" ht="15">
      <c r="A46" s="51" t="str">
        <f t="shared" ca="1" si="0"/>
        <v>882576623</v>
      </c>
      <c r="B46" s="63">
        <f t="shared" ca="1" si="1"/>
        <v>20</v>
      </c>
      <c r="C46" s="43">
        <f t="shared" ca="1" si="5"/>
        <v>15.1</v>
      </c>
      <c r="D46" s="60">
        <f t="shared" ca="1" si="3"/>
        <v>40229.573400000001</v>
      </c>
      <c r="E46" s="55">
        <f t="shared" ca="1" si="4"/>
        <v>50.2</v>
      </c>
    </row>
    <row r="47" spans="1:5" ht="15">
      <c r="A47" s="51" t="str">
        <f t="shared" ca="1" si="0"/>
        <v>882154568</v>
      </c>
      <c r="B47" s="63">
        <f t="shared" ca="1" si="1"/>
        <v>20</v>
      </c>
      <c r="C47" s="43">
        <f t="shared" ca="1" si="5"/>
        <v>117.2</v>
      </c>
      <c r="D47" s="60">
        <f t="shared" ca="1" si="3"/>
        <v>40368.871899999998</v>
      </c>
      <c r="E47" s="55">
        <f t="shared" ca="1" si="4"/>
        <v>254.4</v>
      </c>
    </row>
    <row r="48" spans="1:5" ht="15">
      <c r="A48" s="51" t="str">
        <f t="shared" ca="1" si="0"/>
        <v>884518315</v>
      </c>
      <c r="B48" s="63">
        <f t="shared" ca="1" si="1"/>
        <v>5</v>
      </c>
      <c r="C48" s="43">
        <f t="shared" ca="1" si="5"/>
        <v>188</v>
      </c>
      <c r="D48" s="60">
        <f t="shared" ca="1" si="3"/>
        <v>40462.8796</v>
      </c>
      <c r="E48" s="55">
        <f t="shared" ca="1" si="4"/>
        <v>193</v>
      </c>
    </row>
    <row r="49" spans="1:5" ht="15">
      <c r="A49" s="51" t="str">
        <f t="shared" ca="1" si="0"/>
        <v>882316651</v>
      </c>
      <c r="B49" s="63">
        <f t="shared" ca="1" si="1"/>
        <v>5</v>
      </c>
      <c r="C49" s="43">
        <f t="shared" ca="1" si="5"/>
        <v>131.4</v>
      </c>
      <c r="D49" s="60">
        <f t="shared" ca="1" si="3"/>
        <v>40267.508300000001</v>
      </c>
      <c r="E49" s="55">
        <f t="shared" ca="1" si="4"/>
        <v>136.4</v>
      </c>
    </row>
    <row r="50" spans="1:5" ht="15">
      <c r="A50" s="51" t="str">
        <f t="shared" ca="1" si="0"/>
        <v>884615498</v>
      </c>
      <c r="B50" s="63">
        <f t="shared" ca="1" si="1"/>
        <v>5</v>
      </c>
      <c r="C50" s="43">
        <f t="shared" ca="1" si="5"/>
        <v>104.7</v>
      </c>
      <c r="D50" s="60">
        <f t="shared" ca="1" si="3"/>
        <v>40534.098700000002</v>
      </c>
      <c r="E50" s="55">
        <f t="shared" ca="1" si="4"/>
        <v>109.7</v>
      </c>
    </row>
    <row r="51" spans="1:5" ht="15.75" thickBot="1">
      <c r="A51" s="51" t="str">
        <f t="shared" ca="1" si="0"/>
        <v>888739117</v>
      </c>
      <c r="B51" s="63">
        <f t="shared" ca="1" si="1"/>
        <v>20</v>
      </c>
      <c r="C51" s="48">
        <f t="shared" ca="1" si="5"/>
        <v>74.7</v>
      </c>
      <c r="D51" s="61">
        <f t="shared" ca="1" si="3"/>
        <v>40442.689100000003</v>
      </c>
      <c r="E51" s="55">
        <f t="shared" ca="1" si="4"/>
        <v>169.4</v>
      </c>
    </row>
  </sheetData>
  <customSheetViews>
    <customSheetView guid="{F9B480CE-077C-416E-ACF9-56227F746F4A}">
      <selection activeCell="D14" sqref="D14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topLeftCell="A79" workbookViewId="0">
      <selection activeCell="K11" sqref="K11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27" t="s">
        <v>12</v>
      </c>
      <c r="I5" s="127"/>
    </row>
    <row r="6" spans="8:9" ht="18">
      <c r="H6" s="11">
        <f ca="1">ROUND(RAND()*1000+500,0)</f>
        <v>1021</v>
      </c>
      <c r="I6" s="10" t="s">
        <v>13</v>
      </c>
    </row>
    <row r="17" spans="5:9">
      <c r="I17" s="89"/>
    </row>
    <row r="18" spans="5:9" ht="13.5" thickBot="1"/>
    <row r="19" spans="5:9" ht="13.5" thickBot="1">
      <c r="E19" s="101" t="s">
        <v>14</v>
      </c>
      <c r="F19" s="126" t="s">
        <v>277</v>
      </c>
      <c r="G19" s="102" t="s">
        <v>15</v>
      </c>
      <c r="H19" s="103" t="s">
        <v>217</v>
      </c>
    </row>
    <row r="20" spans="5:9">
      <c r="E20" s="98">
        <v>1023652135</v>
      </c>
      <c r="F20" s="99">
        <f ca="1">ROUND(RAND()*16+3,0)</f>
        <v>16</v>
      </c>
      <c r="G20" s="100"/>
      <c r="H20" s="104"/>
    </row>
    <row r="21" spans="5:9">
      <c r="E21" s="93">
        <f>E20+13</f>
        <v>1023652148</v>
      </c>
      <c r="F21" s="9">
        <f t="shared" ref="F21:F43" ca="1" si="0">ROUND(RAND()*16+3,0)</f>
        <v>10</v>
      </c>
      <c r="G21" s="96"/>
      <c r="H21" s="105"/>
    </row>
    <row r="22" spans="5:9">
      <c r="E22" s="93">
        <v>1023652136</v>
      </c>
      <c r="F22" s="9">
        <f t="shared" ca="1" si="0"/>
        <v>13</v>
      </c>
      <c r="G22" s="96"/>
      <c r="H22" s="105"/>
    </row>
    <row r="23" spans="5:9">
      <c r="E23" s="93">
        <f>E22+13</f>
        <v>1023652149</v>
      </c>
      <c r="F23" s="9">
        <f t="shared" ca="1" si="0"/>
        <v>16</v>
      </c>
      <c r="G23" s="96"/>
      <c r="H23" s="105"/>
    </row>
    <row r="24" spans="5:9">
      <c r="E24" s="93">
        <v>1023652137</v>
      </c>
      <c r="F24" s="9">
        <f t="shared" ca="1" si="0"/>
        <v>16</v>
      </c>
      <c r="G24" s="96"/>
      <c r="H24" s="105"/>
    </row>
    <row r="25" spans="5:9">
      <c r="E25" s="93">
        <f>E24+13</f>
        <v>1023652150</v>
      </c>
      <c r="F25" s="9">
        <f t="shared" ca="1" si="0"/>
        <v>7</v>
      </c>
      <c r="G25" s="96"/>
      <c r="H25" s="105"/>
    </row>
    <row r="26" spans="5:9">
      <c r="E26" s="93">
        <v>1023652138</v>
      </c>
      <c r="F26" s="9">
        <f t="shared" ca="1" si="0"/>
        <v>11</v>
      </c>
      <c r="G26" s="96"/>
      <c r="H26" s="105"/>
    </row>
    <row r="27" spans="5:9">
      <c r="E27" s="93">
        <f>E26+13</f>
        <v>1023652151</v>
      </c>
      <c r="F27" s="9">
        <f t="shared" ca="1" si="0"/>
        <v>9</v>
      </c>
      <c r="G27" s="96"/>
      <c r="H27" s="105"/>
    </row>
    <row r="28" spans="5:9">
      <c r="E28" s="93">
        <v>1023652139</v>
      </c>
      <c r="F28" s="9">
        <f t="shared" ca="1" si="0"/>
        <v>6</v>
      </c>
      <c r="G28" s="96"/>
      <c r="H28" s="105"/>
    </row>
    <row r="29" spans="5:9">
      <c r="E29" s="93">
        <f>E28+13</f>
        <v>1023652152</v>
      </c>
      <c r="F29" s="9">
        <f t="shared" ca="1" si="0"/>
        <v>12</v>
      </c>
      <c r="G29" s="96"/>
      <c r="H29" s="105"/>
    </row>
    <row r="30" spans="5:9">
      <c r="E30" s="93">
        <v>1023652140</v>
      </c>
      <c r="F30" s="9">
        <f t="shared" ca="1" si="0"/>
        <v>9</v>
      </c>
      <c r="G30" s="96"/>
      <c r="H30" s="105"/>
    </row>
    <row r="31" spans="5:9">
      <c r="E31" s="93">
        <f>E30+13</f>
        <v>1023652153</v>
      </c>
      <c r="F31" s="9">
        <f t="shared" ca="1" si="0"/>
        <v>12</v>
      </c>
      <c r="G31" s="96"/>
      <c r="H31" s="105"/>
    </row>
    <row r="32" spans="5:9">
      <c r="E32" s="93">
        <v>1023652141</v>
      </c>
      <c r="F32" s="9">
        <f t="shared" ca="1" si="0"/>
        <v>11</v>
      </c>
      <c r="G32" s="96"/>
      <c r="H32" s="105"/>
    </row>
    <row r="33" spans="5:8">
      <c r="E33" s="93">
        <f>E32+13</f>
        <v>1023652154</v>
      </c>
      <c r="F33" s="9">
        <f t="shared" ca="1" si="0"/>
        <v>16</v>
      </c>
      <c r="G33" s="96"/>
      <c r="H33" s="105"/>
    </row>
    <row r="34" spans="5:8">
      <c r="E34" s="93">
        <v>1023652142</v>
      </c>
      <c r="F34" s="9">
        <f t="shared" ca="1" si="0"/>
        <v>6</v>
      </c>
      <c r="G34" s="96"/>
      <c r="H34" s="105"/>
    </row>
    <row r="35" spans="5:8">
      <c r="E35" s="93">
        <f>E34+13</f>
        <v>1023652155</v>
      </c>
      <c r="F35" s="9">
        <f t="shared" ca="1" si="0"/>
        <v>3</v>
      </c>
      <c r="G35" s="96"/>
      <c r="H35" s="105"/>
    </row>
    <row r="36" spans="5:8">
      <c r="E36" s="93">
        <v>1023652143</v>
      </c>
      <c r="F36" s="9">
        <f t="shared" ca="1" si="0"/>
        <v>5</v>
      </c>
      <c r="G36" s="96"/>
      <c r="H36" s="105"/>
    </row>
    <row r="37" spans="5:8">
      <c r="E37" s="93">
        <f>E36+13</f>
        <v>1023652156</v>
      </c>
      <c r="F37" s="9">
        <f t="shared" ca="1" si="0"/>
        <v>11</v>
      </c>
      <c r="G37" s="96"/>
      <c r="H37" s="105"/>
    </row>
    <row r="38" spans="5:8">
      <c r="E38" s="93">
        <v>1023652144</v>
      </c>
      <c r="F38" s="9">
        <f t="shared" ca="1" si="0"/>
        <v>7</v>
      </c>
      <c r="G38" s="96"/>
      <c r="H38" s="105"/>
    </row>
    <row r="39" spans="5:8">
      <c r="E39" s="93">
        <f>E38+13</f>
        <v>1023652157</v>
      </c>
      <c r="F39" s="9">
        <f t="shared" ca="1" si="0"/>
        <v>10</v>
      </c>
      <c r="G39" s="96"/>
      <c r="H39" s="105"/>
    </row>
    <row r="40" spans="5:8">
      <c r="E40" s="93">
        <v>1023652145</v>
      </c>
      <c r="F40" s="9">
        <f t="shared" ca="1" si="0"/>
        <v>4</v>
      </c>
      <c r="G40" s="96"/>
      <c r="H40" s="105"/>
    </row>
    <row r="41" spans="5:8">
      <c r="E41" s="93">
        <f>E40+13</f>
        <v>1023652158</v>
      </c>
      <c r="F41" s="9">
        <f t="shared" ca="1" si="0"/>
        <v>14</v>
      </c>
      <c r="G41" s="96"/>
      <c r="H41" s="105"/>
    </row>
    <row r="42" spans="5:8">
      <c r="E42" s="93">
        <v>1023652146</v>
      </c>
      <c r="F42" s="9">
        <f t="shared" ca="1" si="0"/>
        <v>18</v>
      </c>
      <c r="G42" s="96"/>
      <c r="H42" s="105"/>
    </row>
    <row r="43" spans="5:8" ht="13.5" thickBot="1">
      <c r="E43" s="94">
        <f>E42+13</f>
        <v>1023652159</v>
      </c>
      <c r="F43" s="95">
        <f t="shared" ca="1" si="0"/>
        <v>11</v>
      </c>
      <c r="G43" s="97"/>
      <c r="H43" s="106"/>
    </row>
  </sheetData>
  <customSheetViews>
    <customSheetView guid="{F9B480CE-077C-416E-ACF9-56227F746F4A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4" hidden="1" customWidth="1"/>
    <col min="2" max="2" width="20.42578125" style="24" bestFit="1" customWidth="1"/>
    <col min="3" max="11" width="9.140625" style="24"/>
    <col min="12" max="13" width="9.140625" style="24" hidden="1" customWidth="1"/>
    <col min="14" max="16384" width="9.140625" style="24"/>
  </cols>
  <sheetData>
    <row r="1" spans="1:13" ht="13.5" thickBot="1">
      <c r="B1" s="30" t="s">
        <v>69</v>
      </c>
      <c r="C1" s="31" t="s">
        <v>138</v>
      </c>
    </row>
    <row r="2" spans="1:13">
      <c r="A2" s="24">
        <f ca="1">ROUND(RAND()*19+1,0)</f>
        <v>6</v>
      </c>
      <c r="B2" s="36" t="str">
        <f ca="1">VLOOKUP(A2,$L$2:$M$41,2)</f>
        <v>Gdańsk</v>
      </c>
      <c r="C2" s="32"/>
      <c r="L2" s="24">
        <v>1</v>
      </c>
      <c r="M2" s="36" t="s">
        <v>71</v>
      </c>
    </row>
    <row r="3" spans="1:13">
      <c r="A3" s="24">
        <f ca="1">A2+1</f>
        <v>7</v>
      </c>
      <c r="B3" s="36" t="str">
        <f ca="1">VLOOKUP(A3,$L$2:$M$41,2)</f>
        <v>Jaworzno</v>
      </c>
      <c r="C3" s="33"/>
      <c r="L3" s="24">
        <v>2</v>
      </c>
      <c r="M3" s="36" t="s">
        <v>72</v>
      </c>
    </row>
    <row r="4" spans="1:13">
      <c r="A4" s="24">
        <f t="shared" ref="A4:A21" ca="1" si="0">A3+1</f>
        <v>8</v>
      </c>
      <c r="B4" s="36" t="str">
        <f t="shared" ref="B4:B21" ca="1" si="1">VLOOKUP(A4,$L$2:$M$41,2)</f>
        <v>Katowice</v>
      </c>
      <c r="C4" s="33"/>
      <c r="L4" s="24">
        <v>3</v>
      </c>
      <c r="M4" s="36" t="s">
        <v>73</v>
      </c>
    </row>
    <row r="5" spans="1:13">
      <c r="A5" s="24">
        <f t="shared" ca="1" si="0"/>
        <v>9</v>
      </c>
      <c r="B5" s="36" t="str">
        <f t="shared" ca="1" si="1"/>
        <v>Radom</v>
      </c>
      <c r="C5" s="33"/>
      <c r="L5" s="24">
        <v>4</v>
      </c>
      <c r="M5" s="36" t="s">
        <v>74</v>
      </c>
    </row>
    <row r="6" spans="1:13">
      <c r="A6" s="24">
        <f t="shared" ca="1" si="0"/>
        <v>10</v>
      </c>
      <c r="B6" s="36" t="str">
        <f t="shared" ca="1" si="1"/>
        <v>Kielce</v>
      </c>
      <c r="C6" s="33"/>
      <c r="L6" s="24">
        <v>5</v>
      </c>
      <c r="M6" s="36" t="s">
        <v>75</v>
      </c>
    </row>
    <row r="7" spans="1:13">
      <c r="A7" s="24">
        <f t="shared" ca="1" si="0"/>
        <v>11</v>
      </c>
      <c r="B7" s="36" t="str">
        <f t="shared" ca="1" si="1"/>
        <v>Gdynia</v>
      </c>
      <c r="C7" s="33"/>
      <c r="L7" s="24">
        <v>6</v>
      </c>
      <c r="M7" s="36" t="s">
        <v>76</v>
      </c>
    </row>
    <row r="8" spans="1:13">
      <c r="A8" s="24">
        <f t="shared" ca="1" si="0"/>
        <v>12</v>
      </c>
      <c r="B8" s="36" t="str">
        <f t="shared" ca="1" si="1"/>
        <v>Wrocław</v>
      </c>
      <c r="C8" s="33"/>
      <c r="L8" s="24">
        <v>7</v>
      </c>
      <c r="M8" s="36" t="s">
        <v>114</v>
      </c>
    </row>
    <row r="9" spans="1:13">
      <c r="A9" s="24">
        <f t="shared" ca="1" si="0"/>
        <v>13</v>
      </c>
      <c r="B9" s="36" t="str">
        <f t="shared" ca="1" si="1"/>
        <v>Zielona Góra</v>
      </c>
      <c r="C9" s="33"/>
      <c r="L9" s="24">
        <v>8</v>
      </c>
      <c r="M9" s="36" t="s">
        <v>115</v>
      </c>
    </row>
    <row r="10" spans="1:13">
      <c r="A10" s="24">
        <f t="shared" ca="1" si="0"/>
        <v>14</v>
      </c>
      <c r="B10" s="36" t="str">
        <f t="shared" ca="1" si="1"/>
        <v>Olsztyn</v>
      </c>
      <c r="C10" s="33"/>
      <c r="L10" s="24">
        <v>9</v>
      </c>
      <c r="M10" s="36" t="s">
        <v>116</v>
      </c>
    </row>
    <row r="11" spans="1:13">
      <c r="A11" s="24">
        <f t="shared" ca="1" si="0"/>
        <v>15</v>
      </c>
      <c r="B11" s="36" t="str">
        <f t="shared" ca="1" si="1"/>
        <v>Tomaszów Mazowiecki</v>
      </c>
      <c r="C11" s="33"/>
      <c r="L11" s="24">
        <v>10</v>
      </c>
      <c r="M11" s="36" t="s">
        <v>117</v>
      </c>
    </row>
    <row r="12" spans="1:13">
      <c r="A12" s="24">
        <f t="shared" ca="1" si="0"/>
        <v>16</v>
      </c>
      <c r="B12" s="36" t="str">
        <f t="shared" ca="1" si="1"/>
        <v>Częstochowa</v>
      </c>
      <c r="C12" s="33"/>
      <c r="L12" s="24">
        <v>11</v>
      </c>
      <c r="M12" s="36" t="s">
        <v>118</v>
      </c>
    </row>
    <row r="13" spans="1:13">
      <c r="A13" s="24">
        <f t="shared" ca="1" si="0"/>
        <v>17</v>
      </c>
      <c r="B13" s="36" t="str">
        <f t="shared" ca="1" si="1"/>
        <v>Zamość</v>
      </c>
      <c r="C13" s="33"/>
      <c r="L13" s="24">
        <v>12</v>
      </c>
      <c r="M13" s="36" t="s">
        <v>119</v>
      </c>
    </row>
    <row r="14" spans="1:13">
      <c r="A14" s="24">
        <f t="shared" ca="1" si="0"/>
        <v>18</v>
      </c>
      <c r="B14" s="36" t="str">
        <f t="shared" ca="1" si="1"/>
        <v>Białystok</v>
      </c>
      <c r="C14" s="33"/>
      <c r="L14" s="24">
        <v>13</v>
      </c>
      <c r="M14" s="36" t="s">
        <v>120</v>
      </c>
    </row>
    <row r="15" spans="1:13">
      <c r="A15" s="24">
        <f t="shared" ca="1" si="0"/>
        <v>19</v>
      </c>
      <c r="B15" s="36" t="str">
        <f t="shared" ca="1" si="1"/>
        <v>Sopot</v>
      </c>
      <c r="C15" s="33"/>
      <c r="L15" s="24">
        <v>14</v>
      </c>
      <c r="M15" s="36" t="s">
        <v>121</v>
      </c>
    </row>
    <row r="16" spans="1:13">
      <c r="A16" s="24">
        <f t="shared" ca="1" si="0"/>
        <v>20</v>
      </c>
      <c r="B16" s="36" t="str">
        <f t="shared" ca="1" si="1"/>
        <v>Zakopane</v>
      </c>
      <c r="C16" s="33"/>
      <c r="L16" s="24">
        <v>15</v>
      </c>
      <c r="M16" s="36" t="s">
        <v>122</v>
      </c>
    </row>
    <row r="17" spans="1:13">
      <c r="A17" s="24">
        <f t="shared" ca="1" si="0"/>
        <v>21</v>
      </c>
      <c r="B17" s="36" t="str">
        <f t="shared" ca="1" si="1"/>
        <v>Łódź</v>
      </c>
      <c r="C17" s="33"/>
      <c r="L17" s="24">
        <v>16</v>
      </c>
      <c r="M17" s="36" t="s">
        <v>123</v>
      </c>
    </row>
    <row r="18" spans="1:13">
      <c r="A18" s="24">
        <f t="shared" ca="1" si="0"/>
        <v>22</v>
      </c>
      <c r="B18" s="36" t="str">
        <f t="shared" ca="1" si="1"/>
        <v>Warszawa</v>
      </c>
      <c r="C18" s="33"/>
      <c r="L18" s="24">
        <v>17</v>
      </c>
      <c r="M18" s="36" t="s">
        <v>124</v>
      </c>
    </row>
    <row r="19" spans="1:13">
      <c r="A19" s="24">
        <f t="shared" ca="1" si="0"/>
        <v>23</v>
      </c>
      <c r="B19" s="36" t="str">
        <f t="shared" ca="1" si="1"/>
        <v>Poznań</v>
      </c>
      <c r="C19" s="33"/>
      <c r="L19" s="24">
        <v>18</v>
      </c>
      <c r="M19" s="36" t="s">
        <v>125</v>
      </c>
    </row>
    <row r="20" spans="1:13">
      <c r="A20" s="24">
        <f t="shared" ca="1" si="0"/>
        <v>24</v>
      </c>
      <c r="B20" s="36" t="str">
        <f t="shared" ca="1" si="1"/>
        <v>Kraków</v>
      </c>
      <c r="C20" s="33"/>
      <c r="L20" s="24">
        <v>19</v>
      </c>
      <c r="M20" s="36" t="s">
        <v>126</v>
      </c>
    </row>
    <row r="21" spans="1:13">
      <c r="A21" s="24">
        <f t="shared" ca="1" si="0"/>
        <v>25</v>
      </c>
      <c r="B21" s="36" t="str">
        <f t="shared" ca="1" si="1"/>
        <v>Szczecin</v>
      </c>
      <c r="C21" s="33"/>
      <c r="L21" s="24">
        <v>20</v>
      </c>
      <c r="M21" s="36" t="s">
        <v>127</v>
      </c>
    </row>
    <row r="22" spans="1:13">
      <c r="B22" s="35"/>
      <c r="L22" s="24">
        <v>21</v>
      </c>
      <c r="M22" s="36" t="s">
        <v>71</v>
      </c>
    </row>
    <row r="23" spans="1:13"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L29" s="24">
        <v>28</v>
      </c>
      <c r="M29" s="36" t="s">
        <v>115</v>
      </c>
    </row>
    <row r="30" spans="1:13"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4" hidden="1" customWidth="1"/>
    <col min="2" max="2" width="20.42578125" style="24" bestFit="1" customWidth="1"/>
    <col min="3" max="11" width="9.140625" style="24"/>
    <col min="12" max="12" width="9.5703125" style="24" hidden="1" customWidth="1"/>
    <col min="13" max="13" width="13.42578125" style="24" hidden="1" customWidth="1"/>
    <col min="14" max="16384" width="9.140625" style="24"/>
  </cols>
  <sheetData>
    <row r="1" spans="1:13" ht="13.5" thickBot="1">
      <c r="B1" s="30" t="s">
        <v>278</v>
      </c>
      <c r="C1" s="31" t="s">
        <v>70</v>
      </c>
    </row>
    <row r="2" spans="1:13">
      <c r="A2" s="24">
        <f ca="1">ROUND(RAND()*19+1,0)</f>
        <v>1</v>
      </c>
      <c r="B2" s="36" t="str">
        <f ca="1">VLOOKUP(A2,$L$2:$M$41,2)</f>
        <v>poNiedziałek</v>
      </c>
      <c r="C2" s="32"/>
      <c r="L2" s="24">
        <v>1</v>
      </c>
      <c r="M2" s="36" t="s">
        <v>128</v>
      </c>
    </row>
    <row r="3" spans="1:13">
      <c r="A3" s="24">
        <f ca="1">A2+1</f>
        <v>2</v>
      </c>
      <c r="B3" s="36" t="str">
        <f ca="1">VLOOKUP(A3,$L$2:$M$41,2)</f>
        <v>Wtorek</v>
      </c>
      <c r="C3" s="33"/>
      <c r="L3" s="24">
        <v>2</v>
      </c>
      <c r="M3" s="36" t="s">
        <v>129</v>
      </c>
    </row>
    <row r="4" spans="1:13">
      <c r="A4" s="24">
        <f t="shared" ref="A4:A21" ca="1" si="0">A3+1</f>
        <v>3</v>
      </c>
      <c r="B4" s="36" t="str">
        <f t="shared" ref="B4:B21" ca="1" si="1">VLOOKUP(A4,$L$2:$M$41,2)</f>
        <v>środa</v>
      </c>
      <c r="C4" s="33"/>
      <c r="L4" s="24">
        <v>3</v>
      </c>
      <c r="M4" s="36" t="s">
        <v>79</v>
      </c>
    </row>
    <row r="5" spans="1:13">
      <c r="A5" s="24">
        <f t="shared" ca="1" si="0"/>
        <v>4</v>
      </c>
      <c r="B5" s="36" t="str">
        <f t="shared" ca="1" si="1"/>
        <v>CZWartek</v>
      </c>
      <c r="C5" s="33"/>
      <c r="L5" s="24">
        <v>4</v>
      </c>
      <c r="M5" s="36" t="s">
        <v>130</v>
      </c>
    </row>
    <row r="6" spans="1:13">
      <c r="A6" s="24">
        <f t="shared" ca="1" si="0"/>
        <v>5</v>
      </c>
      <c r="B6" s="36" t="str">
        <f t="shared" ca="1" si="1"/>
        <v>piątek</v>
      </c>
      <c r="C6" s="33"/>
      <c r="L6" s="24">
        <v>5</v>
      </c>
      <c r="M6" s="36" t="s">
        <v>81</v>
      </c>
    </row>
    <row r="7" spans="1:13">
      <c r="A7" s="24">
        <f t="shared" ca="1" si="0"/>
        <v>6</v>
      </c>
      <c r="B7" s="36" t="str">
        <f t="shared" ca="1" si="1"/>
        <v>sobota</v>
      </c>
      <c r="C7" s="33"/>
      <c r="L7" s="24">
        <v>6</v>
      </c>
      <c r="M7" s="36" t="s">
        <v>82</v>
      </c>
    </row>
    <row r="8" spans="1:13">
      <c r="A8" s="24">
        <f t="shared" ca="1" si="0"/>
        <v>7</v>
      </c>
      <c r="B8" s="36" t="str">
        <f t="shared" ca="1" si="1"/>
        <v>niedziela</v>
      </c>
      <c r="C8" s="33"/>
      <c r="L8" s="24">
        <v>7</v>
      </c>
      <c r="M8" s="36" t="s">
        <v>83</v>
      </c>
    </row>
    <row r="9" spans="1:13">
      <c r="A9" s="24">
        <f t="shared" ca="1" si="0"/>
        <v>8</v>
      </c>
      <c r="B9" s="36" t="str">
        <f t="shared" ca="1" si="1"/>
        <v>poniedziałek</v>
      </c>
      <c r="C9" s="33"/>
      <c r="L9" s="24">
        <v>8</v>
      </c>
      <c r="M9" s="36" t="s">
        <v>77</v>
      </c>
    </row>
    <row r="10" spans="1:13">
      <c r="A10" s="24">
        <f t="shared" ca="1" si="0"/>
        <v>9</v>
      </c>
      <c r="B10" s="36" t="str">
        <f t="shared" ca="1" si="1"/>
        <v>wtorek</v>
      </c>
      <c r="C10" s="33"/>
      <c r="L10" s="24">
        <v>9</v>
      </c>
      <c r="M10" s="36" t="s">
        <v>78</v>
      </c>
    </row>
    <row r="11" spans="1:13">
      <c r="A11" s="24">
        <f t="shared" ca="1" si="0"/>
        <v>10</v>
      </c>
      <c r="B11" s="36" t="str">
        <f t="shared" ca="1" si="1"/>
        <v>środa</v>
      </c>
      <c r="C11" s="33"/>
      <c r="L11" s="24">
        <v>10</v>
      </c>
      <c r="M11" s="36" t="s">
        <v>79</v>
      </c>
    </row>
    <row r="12" spans="1:13">
      <c r="A12" s="24">
        <f t="shared" ca="1" si="0"/>
        <v>11</v>
      </c>
      <c r="B12" s="36" t="str">
        <f t="shared" ca="1" si="1"/>
        <v>czwartek</v>
      </c>
      <c r="C12" s="33"/>
      <c r="L12" s="24">
        <v>11</v>
      </c>
      <c r="M12" s="36" t="s">
        <v>80</v>
      </c>
    </row>
    <row r="13" spans="1:13">
      <c r="A13" s="24">
        <f t="shared" ca="1" si="0"/>
        <v>12</v>
      </c>
      <c r="B13" s="36" t="str">
        <f t="shared" ca="1" si="1"/>
        <v>piątek</v>
      </c>
      <c r="C13" s="33"/>
      <c r="L13" s="24">
        <v>12</v>
      </c>
      <c r="M13" s="36" t="s">
        <v>81</v>
      </c>
    </row>
    <row r="14" spans="1:13">
      <c r="A14" s="24">
        <f t="shared" ca="1" si="0"/>
        <v>13</v>
      </c>
      <c r="B14" s="36" t="str">
        <f t="shared" ca="1" si="1"/>
        <v>SOBOTA</v>
      </c>
      <c r="C14" s="33"/>
      <c r="L14" s="24">
        <v>13</v>
      </c>
      <c r="M14" s="36" t="s">
        <v>137</v>
      </c>
    </row>
    <row r="15" spans="1:13">
      <c r="A15" s="24">
        <f t="shared" ca="1" si="0"/>
        <v>14</v>
      </c>
      <c r="B15" s="36" t="str">
        <f t="shared" ca="1" si="1"/>
        <v>niedziela</v>
      </c>
      <c r="C15" s="33"/>
      <c r="L15" s="24">
        <v>14</v>
      </c>
      <c r="M15" s="36" t="s">
        <v>83</v>
      </c>
    </row>
    <row r="16" spans="1:13">
      <c r="A16" s="24">
        <f t="shared" ca="1" si="0"/>
        <v>15</v>
      </c>
      <c r="B16" s="36" t="str">
        <f t="shared" ca="1" si="1"/>
        <v>poniedziałek</v>
      </c>
      <c r="C16" s="33"/>
      <c r="L16" s="24">
        <v>15</v>
      </c>
      <c r="M16" s="36" t="s">
        <v>77</v>
      </c>
    </row>
    <row r="17" spans="1:13">
      <c r="A17" s="24">
        <f t="shared" ca="1" si="0"/>
        <v>16</v>
      </c>
      <c r="B17" s="36" t="str">
        <f t="shared" ca="1" si="1"/>
        <v>wtorek</v>
      </c>
      <c r="C17" s="33"/>
      <c r="L17" s="24">
        <v>16</v>
      </c>
      <c r="M17" s="36" t="s">
        <v>78</v>
      </c>
    </row>
    <row r="18" spans="1:13">
      <c r="A18" s="24">
        <f t="shared" ca="1" si="0"/>
        <v>17</v>
      </c>
      <c r="B18" s="36" t="str">
        <f t="shared" ca="1" si="1"/>
        <v>środa</v>
      </c>
      <c r="C18" s="33"/>
      <c r="L18" s="24">
        <v>17</v>
      </c>
      <c r="M18" s="36" t="s">
        <v>79</v>
      </c>
    </row>
    <row r="19" spans="1:13">
      <c r="A19" s="24">
        <f t="shared" ca="1" si="0"/>
        <v>18</v>
      </c>
      <c r="B19" s="36" t="str">
        <f t="shared" ca="1" si="1"/>
        <v>cZwartek</v>
      </c>
      <c r="C19" s="33"/>
      <c r="L19" s="24">
        <v>18</v>
      </c>
      <c r="M19" s="36" t="s">
        <v>131</v>
      </c>
    </row>
    <row r="20" spans="1:13">
      <c r="A20" s="24">
        <f t="shared" ca="1" si="0"/>
        <v>19</v>
      </c>
      <c r="B20" s="36" t="str">
        <f t="shared" ca="1" si="1"/>
        <v>piątek</v>
      </c>
      <c r="C20" s="33"/>
      <c r="L20" s="24">
        <v>19</v>
      </c>
      <c r="M20" s="36" t="s">
        <v>81</v>
      </c>
    </row>
    <row r="21" spans="1:13">
      <c r="A21" s="24">
        <f t="shared" ca="1" si="0"/>
        <v>20</v>
      </c>
      <c r="B21" s="36" t="str">
        <f t="shared" ca="1" si="1"/>
        <v>sobota</v>
      </c>
      <c r="C21" s="33"/>
      <c r="L21" s="24">
        <v>20</v>
      </c>
      <c r="M21" s="36" t="s">
        <v>82</v>
      </c>
    </row>
    <row r="22" spans="1:13">
      <c r="B22" s="35"/>
      <c r="L22" s="24">
        <v>21</v>
      </c>
      <c r="M22" s="36" t="s">
        <v>83</v>
      </c>
    </row>
    <row r="23" spans="1:13">
      <c r="B23" s="35"/>
      <c r="L23" s="24">
        <v>22</v>
      </c>
      <c r="M23" s="36" t="s">
        <v>132</v>
      </c>
    </row>
    <row r="24" spans="1:13">
      <c r="B24" s="35"/>
      <c r="L24" s="24">
        <v>23</v>
      </c>
      <c r="M24" s="36" t="s">
        <v>78</v>
      </c>
    </row>
    <row r="25" spans="1:13">
      <c r="B25" s="35"/>
      <c r="L25" s="24">
        <v>24</v>
      </c>
      <c r="M25" s="36" t="s">
        <v>79</v>
      </c>
    </row>
    <row r="26" spans="1:13">
      <c r="B26" s="35"/>
      <c r="L26" s="24">
        <v>25</v>
      </c>
      <c r="M26" s="36" t="s">
        <v>80</v>
      </c>
    </row>
    <row r="27" spans="1:13">
      <c r="L27" s="24">
        <v>26</v>
      </c>
      <c r="M27" s="36" t="s">
        <v>133</v>
      </c>
    </row>
    <row r="28" spans="1:13">
      <c r="L28" s="24">
        <v>27</v>
      </c>
      <c r="M28" s="36" t="s">
        <v>82</v>
      </c>
    </row>
    <row r="29" spans="1:13">
      <c r="L29" s="24">
        <v>28</v>
      </c>
      <c r="M29" s="36" t="s">
        <v>83</v>
      </c>
    </row>
    <row r="30" spans="1:13">
      <c r="L30" s="24">
        <v>29</v>
      </c>
      <c r="M30" s="36" t="s">
        <v>134</v>
      </c>
    </row>
    <row r="31" spans="1:13">
      <c r="L31" s="24">
        <v>30</v>
      </c>
      <c r="M31" s="36" t="s">
        <v>135</v>
      </c>
    </row>
    <row r="32" spans="1:13">
      <c r="L32" s="24">
        <v>31</v>
      </c>
      <c r="M32" s="36" t="s">
        <v>136</v>
      </c>
    </row>
    <row r="33" spans="12:13">
      <c r="L33" s="24">
        <v>32</v>
      </c>
      <c r="M33" s="36" t="s">
        <v>80</v>
      </c>
    </row>
    <row r="34" spans="12:13">
      <c r="L34" s="24">
        <v>33</v>
      </c>
      <c r="M34" s="36" t="s">
        <v>81</v>
      </c>
    </row>
    <row r="35" spans="12:13">
      <c r="L35" s="24">
        <v>34</v>
      </c>
      <c r="M35" s="36" t="s">
        <v>82</v>
      </c>
    </row>
    <row r="36" spans="12:13">
      <c r="L36" s="24">
        <v>35</v>
      </c>
      <c r="M36" s="36" t="s">
        <v>83</v>
      </c>
    </row>
    <row r="37" spans="12:13">
      <c r="L37" s="24">
        <v>36</v>
      </c>
      <c r="M37" s="36" t="s">
        <v>77</v>
      </c>
    </row>
    <row r="38" spans="12:13">
      <c r="L38" s="24">
        <v>37</v>
      </c>
      <c r="M38" s="36" t="s">
        <v>78</v>
      </c>
    </row>
    <row r="39" spans="12:13">
      <c r="L39" s="24">
        <v>38</v>
      </c>
      <c r="M39" s="36" t="s">
        <v>79</v>
      </c>
    </row>
    <row r="40" spans="12:13">
      <c r="L40" s="24">
        <v>39</v>
      </c>
      <c r="M40" s="36" t="s">
        <v>80</v>
      </c>
    </row>
    <row r="41" spans="12:13">
      <c r="L41" s="24">
        <v>40</v>
      </c>
      <c r="M41" s="36" t="s">
        <v>81</v>
      </c>
    </row>
  </sheetData>
  <customSheetViews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4" hidden="1" customWidth="1"/>
    <col min="2" max="2" width="12.85546875" style="24" bestFit="1" customWidth="1"/>
    <col min="3" max="3" width="20.42578125" style="24" bestFit="1" customWidth="1"/>
    <col min="4" max="12" width="9.140625" style="24"/>
    <col min="13" max="13" width="12" style="24" hidden="1" customWidth="1"/>
    <col min="14" max="14" width="11.28515625" style="24" hidden="1" customWidth="1"/>
    <col min="15" max="16384" width="9.140625" style="24"/>
  </cols>
  <sheetData>
    <row r="1" spans="1:14" ht="13.5" thickBot="1">
      <c r="B1" s="28" t="s">
        <v>140</v>
      </c>
      <c r="C1" s="36" t="s">
        <v>0</v>
      </c>
      <c r="D1" s="70" t="s">
        <v>139</v>
      </c>
    </row>
    <row r="2" spans="1:14">
      <c r="A2" s="24">
        <f ca="1">ROUND(RAND()*19+1,0)</f>
        <v>15</v>
      </c>
      <c r="B2" s="28">
        <f ca="1">ROUND(RAND()*20+1989,0)</f>
        <v>1996</v>
      </c>
      <c r="C2" s="36" t="str">
        <f ca="1">VLOOKUP(A2,$M$2:$N$41,2)</f>
        <v>Katarzyna</v>
      </c>
      <c r="D2" s="32"/>
      <c r="M2" s="24">
        <v>1</v>
      </c>
      <c r="N2" s="1" t="s">
        <v>1</v>
      </c>
    </row>
    <row r="3" spans="1:14">
      <c r="A3" s="24">
        <f ca="1">A2+1</f>
        <v>16</v>
      </c>
      <c r="B3" s="28">
        <f t="shared" ref="B3:B21" ca="1" si="0">ROUND(RAND()*20+1989,0)</f>
        <v>1991</v>
      </c>
      <c r="C3" s="36" t="str">
        <f ca="1">VLOOKUP(A3,$M$2:$N$41,2)</f>
        <v>Justyna</v>
      </c>
      <c r="D3" s="33"/>
      <c r="M3" s="24">
        <v>2</v>
      </c>
      <c r="N3" s="1" t="s">
        <v>2</v>
      </c>
    </row>
    <row r="4" spans="1:14">
      <c r="A4" s="24">
        <f t="shared" ref="A4:A21" ca="1" si="1">A3+1</f>
        <v>17</v>
      </c>
      <c r="B4" s="28">
        <f t="shared" ca="1" si="0"/>
        <v>1994</v>
      </c>
      <c r="C4" s="36" t="str">
        <f t="shared" ref="C4:C21" ca="1" si="2">VLOOKUP(A4,$M$2:$N$41,2)</f>
        <v>Monika</v>
      </c>
      <c r="D4" s="33"/>
      <c r="M4" s="24">
        <v>3</v>
      </c>
      <c r="N4" s="69" t="s">
        <v>3</v>
      </c>
    </row>
    <row r="5" spans="1:14">
      <c r="A5" s="24">
        <f t="shared" ca="1" si="1"/>
        <v>18</v>
      </c>
      <c r="B5" s="28">
        <f t="shared" ca="1" si="0"/>
        <v>1996</v>
      </c>
      <c r="C5" s="36" t="str">
        <f t="shared" ca="1" si="2"/>
        <v>Maria</v>
      </c>
      <c r="D5" s="33"/>
      <c r="M5" s="24">
        <v>4</v>
      </c>
      <c r="N5" s="1" t="s">
        <v>4</v>
      </c>
    </row>
    <row r="6" spans="1:14">
      <c r="A6" s="24">
        <f t="shared" ca="1" si="1"/>
        <v>19</v>
      </c>
      <c r="B6" s="28">
        <f t="shared" ca="1" si="0"/>
        <v>1999</v>
      </c>
      <c r="C6" s="36" t="str">
        <f t="shared" ca="1" si="2"/>
        <v>Anna</v>
      </c>
      <c r="D6" s="33"/>
      <c r="M6" s="24">
        <v>5</v>
      </c>
      <c r="N6" s="1" t="s">
        <v>5</v>
      </c>
    </row>
    <row r="7" spans="1:14">
      <c r="A7" s="24">
        <f t="shared" ca="1" si="1"/>
        <v>20</v>
      </c>
      <c r="B7" s="28">
        <f t="shared" ca="1" si="0"/>
        <v>2005</v>
      </c>
      <c r="C7" s="36" t="str">
        <f t="shared" ca="1" si="2"/>
        <v>Monika</v>
      </c>
      <c r="D7" s="33"/>
      <c r="M7" s="24">
        <v>6</v>
      </c>
      <c r="N7" s="1" t="s">
        <v>6</v>
      </c>
    </row>
    <row r="8" spans="1:14">
      <c r="A8" s="24">
        <f t="shared" ca="1" si="1"/>
        <v>21</v>
      </c>
      <c r="B8" s="28">
        <f t="shared" ca="1" si="0"/>
        <v>2000</v>
      </c>
      <c r="C8" s="36" t="str">
        <f t="shared" ca="1" si="2"/>
        <v>Jarosław</v>
      </c>
      <c r="D8" s="33"/>
      <c r="M8" s="24">
        <v>7</v>
      </c>
      <c r="N8" s="1" t="s">
        <v>7</v>
      </c>
    </row>
    <row r="9" spans="1:14">
      <c r="A9" s="24">
        <f t="shared" ca="1" si="1"/>
        <v>22</v>
      </c>
      <c r="B9" s="28">
        <f t="shared" ca="1" si="0"/>
        <v>1990</v>
      </c>
      <c r="C9" s="36" t="str">
        <f t="shared" ca="1" si="2"/>
        <v>Andrzej</v>
      </c>
      <c r="D9" s="33"/>
      <c r="M9" s="24">
        <v>8</v>
      </c>
      <c r="N9" s="1" t="s">
        <v>2</v>
      </c>
    </row>
    <row r="10" spans="1:14">
      <c r="A10" s="24">
        <f t="shared" ca="1" si="1"/>
        <v>23</v>
      </c>
      <c r="B10" s="28">
        <f t="shared" ca="1" si="0"/>
        <v>2001</v>
      </c>
      <c r="C10" s="36" t="str">
        <f t="shared" ca="1" si="2"/>
        <v>Maciej</v>
      </c>
      <c r="D10" s="33"/>
      <c r="M10" s="24">
        <v>9</v>
      </c>
      <c r="N10" s="1" t="s">
        <v>8</v>
      </c>
    </row>
    <row r="11" spans="1:14">
      <c r="A11" s="24">
        <f t="shared" ca="1" si="1"/>
        <v>24</v>
      </c>
      <c r="B11" s="28">
        <f t="shared" ca="1" si="0"/>
        <v>2007</v>
      </c>
      <c r="C11" s="36" t="str">
        <f t="shared" ca="1" si="2"/>
        <v>Katarzyna</v>
      </c>
      <c r="D11" s="33"/>
      <c r="M11" s="24">
        <v>10</v>
      </c>
      <c r="N11" s="1" t="s">
        <v>1</v>
      </c>
    </row>
    <row r="12" spans="1:14">
      <c r="A12" s="24">
        <f t="shared" ca="1" si="1"/>
        <v>25</v>
      </c>
      <c r="B12" s="28">
        <f t="shared" ca="1" si="0"/>
        <v>1998</v>
      </c>
      <c r="C12" s="36" t="str">
        <f t="shared" ca="1" si="2"/>
        <v>Justyna</v>
      </c>
      <c r="D12" s="33"/>
      <c r="M12" s="24">
        <v>11</v>
      </c>
      <c r="N12" s="1" t="s">
        <v>2</v>
      </c>
    </row>
    <row r="13" spans="1:14">
      <c r="A13" s="24">
        <f t="shared" ca="1" si="1"/>
        <v>26</v>
      </c>
      <c r="B13" s="28">
        <f t="shared" ca="1" si="0"/>
        <v>1992</v>
      </c>
      <c r="C13" s="36" t="str">
        <f t="shared" ca="1" si="2"/>
        <v>Monika</v>
      </c>
      <c r="D13" s="33"/>
      <c r="M13" s="24">
        <v>12</v>
      </c>
      <c r="N13" s="1" t="s">
        <v>3</v>
      </c>
    </row>
    <row r="14" spans="1:14">
      <c r="A14" s="24">
        <f t="shared" ca="1" si="1"/>
        <v>27</v>
      </c>
      <c r="B14" s="28">
        <f t="shared" ca="1" si="0"/>
        <v>2008</v>
      </c>
      <c r="C14" s="36" t="str">
        <f t="shared" ca="1" si="2"/>
        <v>Maria</v>
      </c>
      <c r="D14" s="33"/>
      <c r="M14" s="24">
        <v>13</v>
      </c>
      <c r="N14" s="1" t="s">
        <v>4</v>
      </c>
    </row>
    <row r="15" spans="1:14">
      <c r="A15" s="24">
        <f t="shared" ca="1" si="1"/>
        <v>28</v>
      </c>
      <c r="B15" s="28">
        <f t="shared" ca="1" si="0"/>
        <v>1990</v>
      </c>
      <c r="C15" s="36" t="str">
        <f t="shared" ca="1" si="2"/>
        <v>Anna</v>
      </c>
      <c r="D15" s="33"/>
      <c r="M15" s="24">
        <v>14</v>
      </c>
      <c r="N15" s="1" t="s">
        <v>5</v>
      </c>
    </row>
    <row r="16" spans="1:14">
      <c r="A16" s="24">
        <f t="shared" ca="1" si="1"/>
        <v>29</v>
      </c>
      <c r="B16" s="28">
        <f t="shared" ca="1" si="0"/>
        <v>1997</v>
      </c>
      <c r="C16" s="36" t="str">
        <f t="shared" ca="1" si="2"/>
        <v>Monika</v>
      </c>
      <c r="D16" s="33"/>
      <c r="M16" s="24">
        <v>15</v>
      </c>
      <c r="N16" s="1" t="s">
        <v>6</v>
      </c>
    </row>
    <row r="17" spans="1:14">
      <c r="A17" s="24">
        <f t="shared" ca="1" si="1"/>
        <v>30</v>
      </c>
      <c r="B17" s="28">
        <f t="shared" ca="1" si="0"/>
        <v>2003</v>
      </c>
      <c r="C17" s="36" t="str">
        <f t="shared" ca="1" si="2"/>
        <v>Jarosław</v>
      </c>
      <c r="D17" s="33"/>
      <c r="M17" s="24">
        <v>16</v>
      </c>
      <c r="N17" s="1" t="s">
        <v>7</v>
      </c>
    </row>
    <row r="18" spans="1:14">
      <c r="A18" s="24">
        <f t="shared" ca="1" si="1"/>
        <v>31</v>
      </c>
      <c r="B18" s="28">
        <f t="shared" ca="1" si="0"/>
        <v>1995</v>
      </c>
      <c r="C18" s="36" t="str">
        <f t="shared" ca="1" si="2"/>
        <v>Andrzej</v>
      </c>
      <c r="D18" s="33"/>
      <c r="M18" s="24">
        <v>17</v>
      </c>
      <c r="N18" s="1" t="s">
        <v>2</v>
      </c>
    </row>
    <row r="19" spans="1:14">
      <c r="A19" s="24">
        <f t="shared" ca="1" si="1"/>
        <v>32</v>
      </c>
      <c r="B19" s="28">
        <f t="shared" ca="1" si="0"/>
        <v>1995</v>
      </c>
      <c r="C19" s="36" t="str">
        <f t="shared" ca="1" si="2"/>
        <v>Maciej</v>
      </c>
      <c r="D19" s="33"/>
      <c r="M19" s="24">
        <v>18</v>
      </c>
      <c r="N19" s="1" t="s">
        <v>8</v>
      </c>
    </row>
    <row r="20" spans="1:14">
      <c r="A20" s="24">
        <f t="shared" ca="1" si="1"/>
        <v>33</v>
      </c>
      <c r="B20" s="28">
        <f t="shared" ca="1" si="0"/>
        <v>1991</v>
      </c>
      <c r="C20" s="36" t="str">
        <f t="shared" ca="1" si="2"/>
        <v>Katarzyna</v>
      </c>
      <c r="D20" s="33"/>
      <c r="M20" s="24">
        <v>19</v>
      </c>
      <c r="N20" s="1" t="s">
        <v>1</v>
      </c>
    </row>
    <row r="21" spans="1:14" ht="13.5" thickBot="1">
      <c r="A21" s="24">
        <f t="shared" ca="1" si="1"/>
        <v>34</v>
      </c>
      <c r="B21" s="28">
        <f t="shared" ca="1" si="0"/>
        <v>1991</v>
      </c>
      <c r="C21" s="36" t="str">
        <f t="shared" ca="1" si="2"/>
        <v>Justyna</v>
      </c>
      <c r="D21" s="34"/>
      <c r="M21" s="24">
        <v>20</v>
      </c>
      <c r="N21" s="1" t="s">
        <v>2</v>
      </c>
    </row>
    <row r="22" spans="1:14">
      <c r="C22" s="35"/>
      <c r="M22" s="24">
        <v>21</v>
      </c>
      <c r="N22" s="1" t="s">
        <v>3</v>
      </c>
    </row>
    <row r="23" spans="1:14">
      <c r="C23" s="35"/>
      <c r="M23" s="24">
        <v>22</v>
      </c>
      <c r="N23" s="1" t="s">
        <v>4</v>
      </c>
    </row>
    <row r="24" spans="1:14">
      <c r="C24" s="35"/>
      <c r="M24" s="24">
        <v>23</v>
      </c>
      <c r="N24" s="1" t="s">
        <v>5</v>
      </c>
    </row>
    <row r="25" spans="1:14">
      <c r="C25" s="35"/>
      <c r="M25" s="24">
        <v>24</v>
      </c>
      <c r="N25" s="1" t="s">
        <v>6</v>
      </c>
    </row>
    <row r="26" spans="1:14">
      <c r="C26" s="35"/>
      <c r="M26" s="24">
        <v>25</v>
      </c>
      <c r="N26" s="1" t="s">
        <v>7</v>
      </c>
    </row>
    <row r="27" spans="1:14">
      <c r="M27" s="24">
        <v>26</v>
      </c>
      <c r="N27" s="1" t="s">
        <v>2</v>
      </c>
    </row>
    <row r="28" spans="1:14">
      <c r="M28" s="24">
        <v>27</v>
      </c>
      <c r="N28" s="1" t="s">
        <v>8</v>
      </c>
    </row>
    <row r="29" spans="1:14">
      <c r="M29" s="24">
        <v>28</v>
      </c>
      <c r="N29" s="1" t="s">
        <v>1</v>
      </c>
    </row>
    <row r="30" spans="1:14">
      <c r="M30" s="24">
        <v>29</v>
      </c>
      <c r="N30" s="1" t="s">
        <v>2</v>
      </c>
    </row>
    <row r="31" spans="1:14">
      <c r="M31" s="24">
        <v>30</v>
      </c>
      <c r="N31" s="1" t="s">
        <v>3</v>
      </c>
    </row>
    <row r="32" spans="1:14">
      <c r="M32" s="24">
        <v>31</v>
      </c>
      <c r="N32" s="1" t="s">
        <v>4</v>
      </c>
    </row>
    <row r="33" spans="13:14">
      <c r="M33" s="24">
        <v>32</v>
      </c>
      <c r="N33" s="1" t="s">
        <v>5</v>
      </c>
    </row>
    <row r="34" spans="13:14">
      <c r="M34" s="24">
        <v>33</v>
      </c>
      <c r="N34" s="1" t="s">
        <v>6</v>
      </c>
    </row>
    <row r="35" spans="13:14">
      <c r="M35" s="24">
        <v>34</v>
      </c>
      <c r="N35" s="1" t="s">
        <v>7</v>
      </c>
    </row>
    <row r="36" spans="13:14">
      <c r="M36" s="24">
        <v>35</v>
      </c>
      <c r="N36" s="1" t="s">
        <v>2</v>
      </c>
    </row>
    <row r="37" spans="13:14">
      <c r="M37" s="24">
        <v>36</v>
      </c>
      <c r="N37" s="1" t="s">
        <v>8</v>
      </c>
    </row>
    <row r="38" spans="13:14">
      <c r="M38" s="24">
        <v>37</v>
      </c>
      <c r="N38" s="1" t="s">
        <v>1</v>
      </c>
    </row>
    <row r="39" spans="13:14">
      <c r="M39" s="24">
        <v>38</v>
      </c>
      <c r="N39" s="1" t="s">
        <v>2</v>
      </c>
    </row>
    <row r="40" spans="13:14">
      <c r="M40" s="24">
        <v>39</v>
      </c>
      <c r="N40" s="1" t="s">
        <v>3</v>
      </c>
    </row>
    <row r="41" spans="13:14">
      <c r="M41" s="24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topLeftCell="A73"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32" t="s">
        <v>142</v>
      </c>
      <c r="J2" s="133"/>
      <c r="K2" s="133"/>
      <c r="L2" s="133"/>
    </row>
    <row r="3" spans="1:12" ht="13.5" thickBot="1">
      <c r="A3" s="71" t="s">
        <v>143</v>
      </c>
      <c r="B3" s="72"/>
      <c r="C3" s="72"/>
      <c r="D3" s="72"/>
      <c r="E3" s="72"/>
      <c r="F3" s="71" t="s">
        <v>144</v>
      </c>
      <c r="G3" s="75">
        <f ca="1">ROUND(RAND()*180,0)</f>
        <v>8</v>
      </c>
      <c r="H3" s="71" t="s">
        <v>145</v>
      </c>
      <c r="I3" s="134"/>
      <c r="J3" s="134"/>
      <c r="K3" s="134"/>
      <c r="L3" s="134"/>
    </row>
    <row r="4" spans="1:12">
      <c r="A4" s="73" t="s">
        <v>146</v>
      </c>
      <c r="B4" s="73"/>
      <c r="C4" s="73"/>
      <c r="D4" s="73"/>
      <c r="E4" s="73"/>
      <c r="F4" s="73"/>
      <c r="G4" s="73"/>
      <c r="H4" s="73"/>
      <c r="I4" s="134"/>
      <c r="J4" s="134"/>
      <c r="K4" s="134"/>
      <c r="L4" s="134"/>
    </row>
    <row r="5" spans="1:12">
      <c r="A5" s="135" t="s">
        <v>149</v>
      </c>
      <c r="B5" s="135"/>
      <c r="C5" s="135"/>
      <c r="D5" s="135"/>
      <c r="E5" s="135"/>
      <c r="F5" s="135"/>
      <c r="G5" s="135"/>
      <c r="H5" s="135"/>
      <c r="I5" s="134"/>
      <c r="J5" s="134"/>
      <c r="K5" s="134"/>
      <c r="L5" s="134"/>
    </row>
    <row r="6" spans="1:12">
      <c r="I6" s="134"/>
      <c r="J6" s="134"/>
      <c r="K6" s="134"/>
      <c r="L6" s="134"/>
    </row>
    <row r="7" spans="1:12">
      <c r="I7" s="134"/>
      <c r="J7" s="134"/>
      <c r="K7" s="134"/>
      <c r="L7" s="134"/>
    </row>
    <row r="8" spans="1:12">
      <c r="I8" s="134"/>
      <c r="J8" s="134"/>
      <c r="K8" s="134"/>
      <c r="L8" s="134"/>
    </row>
    <row r="15" spans="1:12" ht="13.5" thickBot="1">
      <c r="I15" s="132" t="s">
        <v>142</v>
      </c>
      <c r="J15" s="133"/>
      <c r="K15" s="133"/>
      <c r="L15" s="133"/>
    </row>
    <row r="16" spans="1:12" ht="13.5" thickBot="1">
      <c r="A16" s="71" t="s">
        <v>143</v>
      </c>
      <c r="B16" s="72"/>
      <c r="C16" s="72"/>
      <c r="D16" s="72"/>
      <c r="E16" s="72"/>
      <c r="F16" s="74" t="s">
        <v>147</v>
      </c>
      <c r="G16" s="75">
        <f ca="1">ROUND(RAND()*180,0)</f>
        <v>59</v>
      </c>
      <c r="H16" s="71"/>
      <c r="I16" s="134"/>
      <c r="J16" s="134"/>
      <c r="K16" s="134"/>
      <c r="L16" s="134"/>
    </row>
    <row r="17" spans="1:12">
      <c r="A17" s="73" t="s">
        <v>148</v>
      </c>
      <c r="B17" s="73"/>
      <c r="C17" s="73"/>
      <c r="D17" s="73"/>
      <c r="E17" s="73"/>
      <c r="F17" s="73"/>
      <c r="G17" s="73"/>
      <c r="H17" s="73"/>
      <c r="I17" s="134"/>
      <c r="J17" s="134"/>
      <c r="K17" s="134"/>
      <c r="L17" s="134"/>
    </row>
    <row r="18" spans="1:12">
      <c r="A18" s="135" t="s">
        <v>150</v>
      </c>
      <c r="B18" s="135"/>
      <c r="C18" s="135"/>
      <c r="D18" s="135"/>
      <c r="E18" s="135"/>
      <c r="F18" s="135"/>
      <c r="G18" s="135"/>
      <c r="H18" s="135"/>
      <c r="I18" s="134"/>
      <c r="J18" s="134"/>
      <c r="K18" s="134"/>
      <c r="L18" s="134"/>
    </row>
    <row r="19" spans="1:12">
      <c r="I19" s="134"/>
      <c r="J19" s="134"/>
      <c r="K19" s="134"/>
      <c r="L19" s="134"/>
    </row>
    <row r="20" spans="1:12">
      <c r="I20" s="134"/>
      <c r="J20" s="134"/>
      <c r="K20" s="134"/>
      <c r="L20" s="134"/>
    </row>
    <row r="21" spans="1:12">
      <c r="I21" s="134"/>
      <c r="J21" s="134"/>
      <c r="K21" s="134"/>
      <c r="L21" s="134"/>
    </row>
    <row r="26" spans="1:12" ht="13.5" thickBot="1">
      <c r="I26" s="132" t="s">
        <v>142</v>
      </c>
      <c r="J26" s="133"/>
      <c r="K26" s="133"/>
      <c r="L26" s="133"/>
    </row>
    <row r="27" spans="1:12" ht="13.5" thickBot="1">
      <c r="A27" s="71" t="s">
        <v>143</v>
      </c>
      <c r="B27" s="72"/>
      <c r="C27" s="72"/>
      <c r="D27" s="72"/>
      <c r="E27" s="72"/>
      <c r="F27" s="71" t="s">
        <v>144</v>
      </c>
      <c r="G27" s="75">
        <f ca="1">ROUND(RAND()*180,0)</f>
        <v>46</v>
      </c>
      <c r="H27" s="71" t="s">
        <v>145</v>
      </c>
      <c r="I27" s="134"/>
      <c r="J27" s="134"/>
      <c r="K27" s="134"/>
      <c r="L27" s="134"/>
    </row>
    <row r="28" spans="1:12">
      <c r="A28" s="73" t="s">
        <v>146</v>
      </c>
      <c r="B28" s="73"/>
      <c r="C28" s="73"/>
      <c r="D28" s="73"/>
      <c r="E28" s="73"/>
      <c r="F28" s="73"/>
      <c r="G28" s="73"/>
      <c r="H28" s="73"/>
      <c r="I28" s="134"/>
      <c r="J28" s="134"/>
      <c r="K28" s="134"/>
      <c r="L28" s="134"/>
    </row>
    <row r="29" spans="1:12">
      <c r="A29" s="135" t="s">
        <v>218</v>
      </c>
      <c r="B29" s="135"/>
      <c r="C29" s="135"/>
      <c r="D29" s="135"/>
      <c r="E29" s="135"/>
      <c r="F29" s="135"/>
      <c r="G29" s="135"/>
      <c r="H29" s="135"/>
      <c r="I29" s="134"/>
      <c r="J29" s="134"/>
      <c r="K29" s="134"/>
      <c r="L29" s="134"/>
    </row>
    <row r="30" spans="1:12">
      <c r="I30" s="134"/>
      <c r="J30" s="134"/>
      <c r="K30" s="134"/>
      <c r="L30" s="134"/>
    </row>
    <row r="31" spans="1:12">
      <c r="I31" s="134"/>
      <c r="J31" s="134"/>
      <c r="K31" s="134"/>
      <c r="L31" s="134"/>
    </row>
    <row r="32" spans="1:12">
      <c r="I32" s="134"/>
      <c r="J32" s="134"/>
      <c r="K32" s="134"/>
      <c r="L32" s="134"/>
    </row>
    <row r="39" spans="1:12" ht="13.5" thickBot="1">
      <c r="I39" s="132" t="s">
        <v>142</v>
      </c>
      <c r="J39" s="133"/>
      <c r="K39" s="133"/>
      <c r="L39" s="133"/>
    </row>
    <row r="40" spans="1:12" ht="13.5" thickBot="1">
      <c r="A40" s="71" t="s">
        <v>143</v>
      </c>
      <c r="B40" s="72"/>
      <c r="C40" s="72"/>
      <c r="D40" s="72"/>
      <c r="E40" s="72"/>
      <c r="F40" s="74" t="s">
        <v>280</v>
      </c>
      <c r="G40" s="75">
        <f ca="1">ROUND(RAND()*180,0)</f>
        <v>150</v>
      </c>
      <c r="H40" s="71"/>
      <c r="I40" s="134"/>
      <c r="J40" s="134"/>
      <c r="K40" s="134"/>
      <c r="L40" s="134"/>
    </row>
    <row r="41" spans="1:12">
      <c r="A41" s="73" t="s">
        <v>148</v>
      </c>
      <c r="B41" s="73"/>
      <c r="C41" s="73"/>
      <c r="D41" s="73"/>
      <c r="E41" s="73"/>
      <c r="F41" s="73"/>
      <c r="G41" s="73"/>
      <c r="H41" s="73"/>
      <c r="I41" s="134"/>
      <c r="J41" s="134"/>
      <c r="K41" s="134"/>
      <c r="L41" s="134"/>
    </row>
    <row r="42" spans="1:12">
      <c r="A42" s="135" t="s">
        <v>219</v>
      </c>
      <c r="B42" s="135"/>
      <c r="C42" s="135"/>
      <c r="D42" s="135"/>
      <c r="E42" s="135"/>
      <c r="F42" s="135"/>
      <c r="G42" s="135"/>
      <c r="H42" s="135"/>
      <c r="I42" s="134"/>
      <c r="J42" s="134"/>
      <c r="K42" s="134"/>
      <c r="L42" s="134"/>
    </row>
    <row r="43" spans="1:12">
      <c r="I43" s="134"/>
      <c r="J43" s="134"/>
      <c r="K43" s="134"/>
      <c r="L43" s="134"/>
    </row>
    <row r="44" spans="1:12">
      <c r="I44" s="134"/>
      <c r="J44" s="134"/>
      <c r="K44" s="134"/>
      <c r="L44" s="134"/>
    </row>
    <row r="45" spans="1:12">
      <c r="I45" s="134"/>
      <c r="J45" s="134"/>
      <c r="K45" s="134"/>
      <c r="L45" s="134"/>
    </row>
    <row r="50" spans="1:12" ht="13.5" thickBot="1">
      <c r="I50" s="132" t="s">
        <v>142</v>
      </c>
      <c r="J50" s="133"/>
      <c r="K50" s="133"/>
      <c r="L50" s="133"/>
    </row>
    <row r="51" spans="1:12" ht="13.5" thickBot="1">
      <c r="A51" s="71" t="s">
        <v>143</v>
      </c>
      <c r="B51" s="72"/>
      <c r="C51" s="72"/>
      <c r="D51" s="72"/>
      <c r="E51" s="72"/>
      <c r="F51" s="74" t="s">
        <v>280</v>
      </c>
      <c r="G51" s="75">
        <f ca="1">ROUND(RAND()*180,0)</f>
        <v>129</v>
      </c>
      <c r="H51" s="71"/>
      <c r="I51" s="134"/>
      <c r="J51" s="134"/>
      <c r="K51" s="134"/>
      <c r="L51" s="134"/>
    </row>
    <row r="52" spans="1:12">
      <c r="A52" s="73" t="s">
        <v>148</v>
      </c>
      <c r="B52" s="73"/>
      <c r="C52" s="73"/>
      <c r="D52" s="73"/>
      <c r="E52" s="73"/>
      <c r="F52" s="73"/>
      <c r="G52" s="73"/>
      <c r="H52" s="73"/>
      <c r="I52" s="134"/>
      <c r="J52" s="134"/>
      <c r="K52" s="134"/>
      <c r="L52" s="134"/>
    </row>
    <row r="53" spans="1:12">
      <c r="A53" s="135" t="s">
        <v>220</v>
      </c>
      <c r="B53" s="135"/>
      <c r="C53" s="135"/>
      <c r="D53" s="135"/>
      <c r="E53" s="135"/>
      <c r="F53" s="135"/>
      <c r="G53" s="135"/>
      <c r="H53" s="135"/>
      <c r="I53" s="134"/>
      <c r="J53" s="134"/>
      <c r="K53" s="134"/>
      <c r="L53" s="134"/>
    </row>
    <row r="54" spans="1:12">
      <c r="I54" s="134"/>
      <c r="J54" s="134"/>
      <c r="K54" s="134"/>
      <c r="L54" s="134"/>
    </row>
    <row r="55" spans="1:12">
      <c r="I55" s="134"/>
      <c r="J55" s="134"/>
      <c r="K55" s="134"/>
      <c r="L55" s="134"/>
    </row>
    <row r="56" spans="1:12">
      <c r="I56" s="134"/>
      <c r="J56" s="134"/>
      <c r="K56" s="134"/>
      <c r="L56" s="134"/>
    </row>
  </sheetData>
  <customSheetViews>
    <customSheetView guid="{F9B480CE-077C-416E-ACF9-56227F746F4A}" topLeftCell="A31">
      <pageMargins left="0.7" right="0.7" top="0.75" bottom="0.75" header="0.3" footer="0.3"/>
      <pageSetup paperSize="9" orientation="portrait" r:id="rId1"/>
    </customSheetView>
    <customSheetView guid="{3DF5E802-5CA5-43EF-BE6A-D6FCDA5F65F2}" topLeftCell="A31">
      <pageMargins left="0.7" right="0.7" top="0.75" bottom="0.75" header="0.3" footer="0.3"/>
      <pageSetup paperSize="9" orientation="portrait" r:id="rId2"/>
    </customSheetView>
  </customSheetViews>
  <mergeCells count="15">
    <mergeCell ref="I3:L8"/>
    <mergeCell ref="I2:L2"/>
    <mergeCell ref="I15:L15"/>
    <mergeCell ref="I16:L21"/>
    <mergeCell ref="A5:H5"/>
    <mergeCell ref="A18:H18"/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4" bestFit="1" customWidth="1"/>
    <col min="2" max="2" width="12.85546875" style="24" customWidth="1"/>
    <col min="3" max="3" width="23" style="24" customWidth="1"/>
    <col min="4" max="11" width="9.140625" style="24"/>
    <col min="12" max="13" width="9.140625" style="24" hidden="1" customWidth="1"/>
    <col min="14" max="16384" width="9.140625" style="24"/>
  </cols>
  <sheetData>
    <row r="1" spans="1:13">
      <c r="A1" s="28" t="s">
        <v>19</v>
      </c>
      <c r="B1" s="30" t="s">
        <v>68</v>
      </c>
      <c r="C1" s="30" t="s">
        <v>151</v>
      </c>
    </row>
    <row r="2" spans="1:13">
      <c r="A2" s="76">
        <f ca="1">ROUND(RAND()*3286+40544,0)</f>
        <v>40708</v>
      </c>
      <c r="B2" s="30">
        <f t="shared" ref="B2:B21" ca="1" si="0">YEAR(A2)</f>
        <v>2011</v>
      </c>
      <c r="C2" s="77"/>
      <c r="L2" s="24">
        <v>1</v>
      </c>
      <c r="M2" s="36" t="s">
        <v>71</v>
      </c>
    </row>
    <row r="3" spans="1:13">
      <c r="A3" s="76">
        <f t="shared" ref="A3:A21" ca="1" si="1">ROUND(RAND()*3286+40544,0)</f>
        <v>41453</v>
      </c>
      <c r="B3" s="30">
        <f t="shared" ca="1" si="0"/>
        <v>2013</v>
      </c>
      <c r="C3" s="77"/>
      <c r="L3" s="24">
        <v>2</v>
      </c>
      <c r="M3" s="36" t="s">
        <v>72</v>
      </c>
    </row>
    <row r="4" spans="1:13">
      <c r="A4" s="76">
        <f t="shared" ca="1" si="1"/>
        <v>40894</v>
      </c>
      <c r="B4" s="30">
        <f t="shared" ca="1" si="0"/>
        <v>2011</v>
      </c>
      <c r="C4" s="77"/>
      <c r="L4" s="24">
        <v>3</v>
      </c>
      <c r="M4" s="36" t="s">
        <v>73</v>
      </c>
    </row>
    <row r="5" spans="1:13">
      <c r="A5" s="76">
        <f t="shared" ca="1" si="1"/>
        <v>43720</v>
      </c>
      <c r="B5" s="30">
        <f t="shared" ca="1" si="0"/>
        <v>2019</v>
      </c>
      <c r="C5" s="77"/>
      <c r="L5" s="24">
        <v>4</v>
      </c>
      <c r="M5" s="36" t="s">
        <v>74</v>
      </c>
    </row>
    <row r="6" spans="1:13">
      <c r="A6" s="76">
        <f t="shared" ca="1" si="1"/>
        <v>41429</v>
      </c>
      <c r="B6" s="30">
        <f t="shared" ca="1" si="0"/>
        <v>2013</v>
      </c>
      <c r="C6" s="77"/>
      <c r="L6" s="24">
        <v>5</v>
      </c>
      <c r="M6" s="36" t="s">
        <v>75</v>
      </c>
    </row>
    <row r="7" spans="1:13">
      <c r="A7" s="76">
        <f t="shared" ca="1" si="1"/>
        <v>43114</v>
      </c>
      <c r="B7" s="30">
        <f t="shared" ca="1" si="0"/>
        <v>2018</v>
      </c>
      <c r="C7" s="77"/>
      <c r="L7" s="24">
        <v>6</v>
      </c>
      <c r="M7" s="36" t="s">
        <v>76</v>
      </c>
    </row>
    <row r="8" spans="1:13">
      <c r="A8" s="76">
        <f t="shared" ca="1" si="1"/>
        <v>40751</v>
      </c>
      <c r="B8" s="30">
        <f t="shared" ca="1" si="0"/>
        <v>2011</v>
      </c>
      <c r="C8" s="77"/>
      <c r="L8" s="24">
        <v>7</v>
      </c>
      <c r="M8" s="36" t="s">
        <v>114</v>
      </c>
    </row>
    <row r="9" spans="1:13">
      <c r="A9" s="76">
        <f t="shared" ca="1" si="1"/>
        <v>40924</v>
      </c>
      <c r="B9" s="30">
        <f t="shared" ca="1" si="0"/>
        <v>2012</v>
      </c>
      <c r="C9" s="77"/>
      <c r="L9" s="24">
        <v>8</v>
      </c>
      <c r="M9" s="36" t="s">
        <v>115</v>
      </c>
    </row>
    <row r="10" spans="1:13">
      <c r="A10" s="76">
        <f t="shared" ca="1" si="1"/>
        <v>42755</v>
      </c>
      <c r="B10" s="30">
        <f t="shared" ca="1" si="0"/>
        <v>2017</v>
      </c>
      <c r="C10" s="77"/>
      <c r="L10" s="24">
        <v>9</v>
      </c>
      <c r="M10" s="36" t="s">
        <v>116</v>
      </c>
    </row>
    <row r="11" spans="1:13">
      <c r="A11" s="76">
        <f t="shared" ca="1" si="1"/>
        <v>40567</v>
      </c>
      <c r="B11" s="30">
        <f t="shared" ca="1" si="0"/>
        <v>2011</v>
      </c>
      <c r="C11" s="77"/>
      <c r="L11" s="24">
        <v>10</v>
      </c>
      <c r="M11" s="36" t="s">
        <v>117</v>
      </c>
    </row>
    <row r="12" spans="1:13">
      <c r="A12" s="76">
        <f t="shared" ca="1" si="1"/>
        <v>43343</v>
      </c>
      <c r="B12" s="30">
        <f t="shared" ca="1" si="0"/>
        <v>2018</v>
      </c>
      <c r="C12" s="77"/>
      <c r="L12" s="24">
        <v>11</v>
      </c>
      <c r="M12" s="36" t="s">
        <v>118</v>
      </c>
    </row>
    <row r="13" spans="1:13">
      <c r="A13" s="76">
        <f t="shared" ca="1" si="1"/>
        <v>41639</v>
      </c>
      <c r="B13" s="30">
        <f t="shared" ca="1" si="0"/>
        <v>2013</v>
      </c>
      <c r="C13" s="77"/>
      <c r="L13" s="24">
        <v>12</v>
      </c>
      <c r="M13" s="36" t="s">
        <v>119</v>
      </c>
    </row>
    <row r="14" spans="1:13">
      <c r="A14" s="76">
        <f t="shared" ca="1" si="1"/>
        <v>41673</v>
      </c>
      <c r="B14" s="30">
        <f t="shared" ca="1" si="0"/>
        <v>2014</v>
      </c>
      <c r="C14" s="77"/>
      <c r="L14" s="24">
        <v>13</v>
      </c>
      <c r="M14" s="36" t="s">
        <v>120</v>
      </c>
    </row>
    <row r="15" spans="1:13">
      <c r="A15" s="76">
        <f t="shared" ca="1" si="1"/>
        <v>42816</v>
      </c>
      <c r="B15" s="30">
        <f t="shared" ca="1" si="0"/>
        <v>2017</v>
      </c>
      <c r="C15" s="77"/>
      <c r="L15" s="24">
        <v>14</v>
      </c>
      <c r="M15" s="36" t="s">
        <v>121</v>
      </c>
    </row>
    <row r="16" spans="1:13">
      <c r="A16" s="76">
        <f t="shared" ca="1" si="1"/>
        <v>41631</v>
      </c>
      <c r="B16" s="30">
        <f t="shared" ca="1" si="0"/>
        <v>2013</v>
      </c>
      <c r="C16" s="77"/>
      <c r="L16" s="24">
        <v>15</v>
      </c>
      <c r="M16" s="36" t="s">
        <v>122</v>
      </c>
    </row>
    <row r="17" spans="1:13">
      <c r="A17" s="76">
        <f t="shared" ca="1" si="1"/>
        <v>42008</v>
      </c>
      <c r="B17" s="30">
        <f t="shared" ca="1" si="0"/>
        <v>2015</v>
      </c>
      <c r="C17" s="77"/>
      <c r="L17" s="24">
        <v>16</v>
      </c>
      <c r="M17" s="36" t="s">
        <v>123</v>
      </c>
    </row>
    <row r="18" spans="1:13">
      <c r="A18" s="76">
        <f t="shared" ca="1" si="1"/>
        <v>41892</v>
      </c>
      <c r="B18" s="30">
        <f t="shared" ca="1" si="0"/>
        <v>2014</v>
      </c>
      <c r="C18" s="77"/>
      <c r="L18" s="24">
        <v>17</v>
      </c>
      <c r="M18" s="36" t="s">
        <v>124</v>
      </c>
    </row>
    <row r="19" spans="1:13">
      <c r="A19" s="76">
        <f t="shared" ca="1" si="1"/>
        <v>43135</v>
      </c>
      <c r="B19" s="30">
        <f t="shared" ca="1" si="0"/>
        <v>2018</v>
      </c>
      <c r="C19" s="77"/>
      <c r="L19" s="24">
        <v>18</v>
      </c>
      <c r="M19" s="36" t="s">
        <v>125</v>
      </c>
    </row>
    <row r="20" spans="1:13">
      <c r="A20" s="76">
        <f t="shared" ca="1" si="1"/>
        <v>43273</v>
      </c>
      <c r="B20" s="30">
        <f t="shared" ca="1" si="0"/>
        <v>2018</v>
      </c>
      <c r="C20" s="77"/>
      <c r="L20" s="24">
        <v>19</v>
      </c>
      <c r="M20" s="36" t="s">
        <v>126</v>
      </c>
    </row>
    <row r="21" spans="1:13">
      <c r="A21" s="76">
        <f t="shared" ca="1" si="1"/>
        <v>43670</v>
      </c>
      <c r="B21" s="30">
        <f t="shared" ca="1" si="0"/>
        <v>2019</v>
      </c>
      <c r="C21" s="77"/>
      <c r="L21" s="24">
        <v>20</v>
      </c>
      <c r="M21" s="36" t="s">
        <v>127</v>
      </c>
    </row>
    <row r="22" spans="1:13">
      <c r="A22" s="64"/>
      <c r="B22" s="35"/>
      <c r="L22" s="24">
        <v>21</v>
      </c>
      <c r="M22" s="36" t="s">
        <v>71</v>
      </c>
    </row>
    <row r="23" spans="1:13">
      <c r="A23" s="107"/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C29" s="64"/>
      <c r="L29" s="24">
        <v>28</v>
      </c>
      <c r="M29" s="36" t="s">
        <v>115</v>
      </c>
    </row>
    <row r="30" spans="1:13">
      <c r="C30" s="64"/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4" bestFit="1" customWidth="1"/>
    <col min="2" max="2" width="20.42578125" style="24" bestFit="1" customWidth="1"/>
    <col min="3" max="3" width="12.28515625" style="24" bestFit="1" customWidth="1"/>
    <col min="4" max="11" width="9.140625" style="24"/>
    <col min="12" max="13" width="9.140625" style="24" hidden="1" customWidth="1"/>
    <col min="14" max="16384" width="9.140625" style="24"/>
  </cols>
  <sheetData>
    <row r="1" spans="1:13">
      <c r="A1" s="28" t="s">
        <v>19</v>
      </c>
      <c r="B1" s="30" t="s">
        <v>84</v>
      </c>
      <c r="C1" s="30" t="s">
        <v>151</v>
      </c>
    </row>
    <row r="2" spans="1:13">
      <c r="A2" s="76">
        <f ca="1">ROUND(RAND()*3286+40544,0)</f>
        <v>43505</v>
      </c>
      <c r="B2" s="30">
        <f ca="1">MONTH(A2)</f>
        <v>2</v>
      </c>
      <c r="C2" s="77"/>
      <c r="L2" s="24">
        <v>1</v>
      </c>
      <c r="M2" s="36" t="s">
        <v>71</v>
      </c>
    </row>
    <row r="3" spans="1:13">
      <c r="A3" s="76">
        <f t="shared" ref="A3:A21" ca="1" si="0">ROUND(RAND()*3286+40544,0)</f>
        <v>43536</v>
      </c>
      <c r="B3" s="30">
        <f t="shared" ref="B3:B21" ca="1" si="1">MONTH(A3)</f>
        <v>3</v>
      </c>
      <c r="C3" s="77"/>
      <c r="L3" s="24">
        <v>2</v>
      </c>
      <c r="M3" s="36" t="s">
        <v>72</v>
      </c>
    </row>
    <row r="4" spans="1:13">
      <c r="A4" s="76">
        <f t="shared" ca="1" si="0"/>
        <v>42244</v>
      </c>
      <c r="B4" s="30">
        <f t="shared" ca="1" si="1"/>
        <v>8</v>
      </c>
      <c r="C4" s="77"/>
      <c r="L4" s="24">
        <v>3</v>
      </c>
      <c r="M4" s="36" t="s">
        <v>73</v>
      </c>
    </row>
    <row r="5" spans="1:13">
      <c r="A5" s="76">
        <f t="shared" ca="1" si="0"/>
        <v>41424</v>
      </c>
      <c r="B5" s="30">
        <f t="shared" ca="1" si="1"/>
        <v>5</v>
      </c>
      <c r="C5" s="77"/>
      <c r="L5" s="24">
        <v>4</v>
      </c>
      <c r="M5" s="36" t="s">
        <v>74</v>
      </c>
    </row>
    <row r="6" spans="1:13">
      <c r="A6" s="76">
        <f t="shared" ca="1" si="0"/>
        <v>43783</v>
      </c>
      <c r="B6" s="30">
        <f t="shared" ca="1" si="1"/>
        <v>11</v>
      </c>
      <c r="C6" s="77"/>
      <c r="L6" s="24">
        <v>5</v>
      </c>
      <c r="M6" s="36" t="s">
        <v>75</v>
      </c>
    </row>
    <row r="7" spans="1:13">
      <c r="A7" s="76">
        <f t="shared" ca="1" si="0"/>
        <v>41806</v>
      </c>
      <c r="B7" s="30">
        <f t="shared" ca="1" si="1"/>
        <v>6</v>
      </c>
      <c r="C7" s="77"/>
      <c r="L7" s="24">
        <v>6</v>
      </c>
      <c r="M7" s="36" t="s">
        <v>76</v>
      </c>
    </row>
    <row r="8" spans="1:13">
      <c r="A8" s="76">
        <f t="shared" ca="1" si="0"/>
        <v>40965</v>
      </c>
      <c r="B8" s="30">
        <f t="shared" ca="1" si="1"/>
        <v>2</v>
      </c>
      <c r="C8" s="77"/>
      <c r="L8" s="24">
        <v>7</v>
      </c>
      <c r="M8" s="36" t="s">
        <v>114</v>
      </c>
    </row>
    <row r="9" spans="1:13">
      <c r="A9" s="76">
        <f t="shared" ca="1" si="0"/>
        <v>42660</v>
      </c>
      <c r="B9" s="30">
        <f t="shared" ca="1" si="1"/>
        <v>10</v>
      </c>
      <c r="C9" s="77"/>
      <c r="L9" s="24">
        <v>8</v>
      </c>
      <c r="M9" s="36" t="s">
        <v>115</v>
      </c>
    </row>
    <row r="10" spans="1:13">
      <c r="A10" s="76">
        <f t="shared" ca="1" si="0"/>
        <v>41807</v>
      </c>
      <c r="B10" s="30">
        <f t="shared" ca="1" si="1"/>
        <v>6</v>
      </c>
      <c r="C10" s="77"/>
      <c r="L10" s="24">
        <v>9</v>
      </c>
      <c r="M10" s="36" t="s">
        <v>116</v>
      </c>
    </row>
    <row r="11" spans="1:13">
      <c r="A11" s="76">
        <f t="shared" ca="1" si="0"/>
        <v>43791</v>
      </c>
      <c r="B11" s="30">
        <f t="shared" ca="1" si="1"/>
        <v>11</v>
      </c>
      <c r="C11" s="77"/>
      <c r="L11" s="24">
        <v>10</v>
      </c>
      <c r="M11" s="36" t="s">
        <v>117</v>
      </c>
    </row>
    <row r="12" spans="1:13">
      <c r="A12" s="76">
        <f t="shared" ca="1" si="0"/>
        <v>41526</v>
      </c>
      <c r="B12" s="30">
        <f t="shared" ca="1" si="1"/>
        <v>9</v>
      </c>
      <c r="C12" s="77"/>
      <c r="L12" s="24">
        <v>11</v>
      </c>
      <c r="M12" s="36" t="s">
        <v>118</v>
      </c>
    </row>
    <row r="13" spans="1:13">
      <c r="A13" s="76">
        <f t="shared" ca="1" si="0"/>
        <v>43373</v>
      </c>
      <c r="B13" s="30">
        <f t="shared" ca="1" si="1"/>
        <v>9</v>
      </c>
      <c r="C13" s="77"/>
      <c r="L13" s="24">
        <v>12</v>
      </c>
      <c r="M13" s="36" t="s">
        <v>119</v>
      </c>
    </row>
    <row r="14" spans="1:13">
      <c r="A14" s="76">
        <f t="shared" ca="1" si="0"/>
        <v>42839</v>
      </c>
      <c r="B14" s="30">
        <f t="shared" ca="1" si="1"/>
        <v>4</v>
      </c>
      <c r="C14" s="77"/>
      <c r="L14" s="24">
        <v>13</v>
      </c>
      <c r="M14" s="36" t="s">
        <v>120</v>
      </c>
    </row>
    <row r="15" spans="1:13">
      <c r="A15" s="76">
        <f t="shared" ca="1" si="0"/>
        <v>41529</v>
      </c>
      <c r="B15" s="30">
        <f t="shared" ca="1" si="1"/>
        <v>9</v>
      </c>
      <c r="C15" s="77"/>
      <c r="L15" s="24">
        <v>14</v>
      </c>
      <c r="M15" s="36" t="s">
        <v>121</v>
      </c>
    </row>
    <row r="16" spans="1:13">
      <c r="A16" s="76">
        <f t="shared" ca="1" si="0"/>
        <v>43775</v>
      </c>
      <c r="B16" s="30">
        <f t="shared" ca="1" si="1"/>
        <v>11</v>
      </c>
      <c r="C16" s="77"/>
      <c r="L16" s="24">
        <v>15</v>
      </c>
      <c r="M16" s="36" t="s">
        <v>122</v>
      </c>
    </row>
    <row r="17" spans="1:13">
      <c r="A17" s="76">
        <f t="shared" ca="1" si="0"/>
        <v>40954</v>
      </c>
      <c r="B17" s="30">
        <f t="shared" ca="1" si="1"/>
        <v>2</v>
      </c>
      <c r="C17" s="77"/>
      <c r="L17" s="24">
        <v>16</v>
      </c>
      <c r="M17" s="36" t="s">
        <v>123</v>
      </c>
    </row>
    <row r="18" spans="1:13">
      <c r="A18" s="76">
        <f t="shared" ca="1" si="0"/>
        <v>41006</v>
      </c>
      <c r="B18" s="30">
        <f t="shared" ca="1" si="1"/>
        <v>4</v>
      </c>
      <c r="C18" s="77"/>
      <c r="L18" s="24">
        <v>17</v>
      </c>
      <c r="M18" s="36" t="s">
        <v>124</v>
      </c>
    </row>
    <row r="19" spans="1:13">
      <c r="A19" s="76">
        <f t="shared" ca="1" si="0"/>
        <v>40920</v>
      </c>
      <c r="B19" s="30">
        <f t="shared" ca="1" si="1"/>
        <v>1</v>
      </c>
      <c r="C19" s="77"/>
      <c r="L19" s="24">
        <v>18</v>
      </c>
      <c r="M19" s="36" t="s">
        <v>125</v>
      </c>
    </row>
    <row r="20" spans="1:13">
      <c r="A20" s="76">
        <f t="shared" ca="1" si="0"/>
        <v>41517</v>
      </c>
      <c r="B20" s="30">
        <f t="shared" ca="1" si="1"/>
        <v>8</v>
      </c>
      <c r="C20" s="77"/>
      <c r="L20" s="24">
        <v>19</v>
      </c>
      <c r="M20" s="36" t="s">
        <v>126</v>
      </c>
    </row>
    <row r="21" spans="1:13">
      <c r="A21" s="76">
        <f t="shared" ca="1" si="0"/>
        <v>42023</v>
      </c>
      <c r="B21" s="30">
        <f t="shared" ca="1" si="1"/>
        <v>1</v>
      </c>
      <c r="C21" s="77"/>
      <c r="L21" s="24">
        <v>20</v>
      </c>
      <c r="M21" s="36" t="s">
        <v>127</v>
      </c>
    </row>
    <row r="22" spans="1:13">
      <c r="B22" s="35"/>
      <c r="L22" s="24">
        <v>21</v>
      </c>
      <c r="M22" s="36" t="s">
        <v>71</v>
      </c>
    </row>
    <row r="23" spans="1:13"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C29" s="64"/>
      <c r="L29" s="24">
        <v>28</v>
      </c>
      <c r="M29" s="36" t="s">
        <v>115</v>
      </c>
    </row>
    <row r="30" spans="1:13">
      <c r="C30" s="64"/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4" bestFit="1" customWidth="1"/>
    <col min="2" max="2" width="12.28515625" style="24" bestFit="1" customWidth="1"/>
    <col min="3" max="7" width="9.140625" style="24"/>
    <col min="8" max="8" width="13.28515625" style="24" bestFit="1" customWidth="1"/>
    <col min="9" max="9" width="14.7109375" style="24" bestFit="1" customWidth="1"/>
    <col min="10" max="10" width="10.7109375" style="24" bestFit="1" customWidth="1"/>
    <col min="11" max="12" width="9.140625" style="24" hidden="1" customWidth="1"/>
    <col min="13" max="16384" width="9.140625" style="24"/>
  </cols>
  <sheetData>
    <row r="1" spans="1:12">
      <c r="A1" s="30" t="s">
        <v>231</v>
      </c>
      <c r="B1" s="30" t="s">
        <v>151</v>
      </c>
    </row>
    <row r="2" spans="1:12">
      <c r="A2" s="30">
        <f ca="1">ROUND(RAND()*998+1,0)</f>
        <v>830</v>
      </c>
      <c r="B2" s="77"/>
      <c r="K2" s="24">
        <v>1</v>
      </c>
      <c r="L2" s="36" t="s">
        <v>71</v>
      </c>
    </row>
    <row r="3" spans="1:12">
      <c r="A3" s="30">
        <f t="shared" ref="A3:A21" ca="1" si="0">ROUND(RAND()*998+1,0)</f>
        <v>142</v>
      </c>
      <c r="B3" s="77"/>
      <c r="K3" s="24">
        <v>2</v>
      </c>
      <c r="L3" s="36" t="s">
        <v>72</v>
      </c>
    </row>
    <row r="4" spans="1:12">
      <c r="A4" s="30">
        <f t="shared" ca="1" si="0"/>
        <v>606</v>
      </c>
      <c r="B4" s="77"/>
      <c r="K4" s="24">
        <v>3</v>
      </c>
      <c r="L4" s="36" t="s">
        <v>73</v>
      </c>
    </row>
    <row r="5" spans="1:12">
      <c r="A5" s="30">
        <f t="shared" ca="1" si="0"/>
        <v>350</v>
      </c>
      <c r="B5" s="77"/>
      <c r="K5" s="24">
        <v>4</v>
      </c>
      <c r="L5" s="36" t="s">
        <v>74</v>
      </c>
    </row>
    <row r="6" spans="1:12">
      <c r="A6" s="30">
        <f t="shared" ca="1" si="0"/>
        <v>736</v>
      </c>
      <c r="B6" s="77"/>
      <c r="K6" s="24">
        <v>5</v>
      </c>
      <c r="L6" s="36" t="s">
        <v>75</v>
      </c>
    </row>
    <row r="7" spans="1:12">
      <c r="A7" s="30">
        <f t="shared" ca="1" si="0"/>
        <v>930</v>
      </c>
      <c r="B7" s="77"/>
      <c r="K7" s="24">
        <v>6</v>
      </c>
      <c r="L7" s="36" t="s">
        <v>76</v>
      </c>
    </row>
    <row r="8" spans="1:12">
      <c r="A8" s="30">
        <f t="shared" ca="1" si="0"/>
        <v>792</v>
      </c>
      <c r="B8" s="77"/>
      <c r="K8" s="24">
        <v>7</v>
      </c>
      <c r="L8" s="36" t="s">
        <v>114</v>
      </c>
    </row>
    <row r="9" spans="1:12">
      <c r="A9" s="30">
        <f t="shared" ca="1" si="0"/>
        <v>563</v>
      </c>
      <c r="B9" s="77"/>
      <c r="K9" s="24">
        <v>8</v>
      </c>
      <c r="L9" s="36" t="s">
        <v>115</v>
      </c>
    </row>
    <row r="10" spans="1:12">
      <c r="A10" s="30">
        <f t="shared" ca="1" si="0"/>
        <v>200</v>
      </c>
      <c r="B10" s="77"/>
      <c r="K10" s="24">
        <v>9</v>
      </c>
      <c r="L10" s="36" t="s">
        <v>116</v>
      </c>
    </row>
    <row r="11" spans="1:12">
      <c r="A11" s="30">
        <f t="shared" ca="1" si="0"/>
        <v>490</v>
      </c>
      <c r="B11" s="77"/>
      <c r="K11" s="24">
        <v>10</v>
      </c>
      <c r="L11" s="36" t="s">
        <v>117</v>
      </c>
    </row>
    <row r="12" spans="1:12">
      <c r="A12" s="30">
        <f t="shared" ca="1" si="0"/>
        <v>539</v>
      </c>
      <c r="B12" s="77"/>
      <c r="K12" s="24">
        <v>11</v>
      </c>
      <c r="L12" s="36" t="s">
        <v>118</v>
      </c>
    </row>
    <row r="13" spans="1:12">
      <c r="A13" s="30">
        <f t="shared" ca="1" si="0"/>
        <v>899</v>
      </c>
      <c r="B13" s="77"/>
      <c r="K13" s="24">
        <v>12</v>
      </c>
      <c r="L13" s="36" t="s">
        <v>119</v>
      </c>
    </row>
    <row r="14" spans="1:12">
      <c r="A14" s="30">
        <f t="shared" ca="1" si="0"/>
        <v>916</v>
      </c>
      <c r="B14" s="77"/>
      <c r="K14" s="24">
        <v>13</v>
      </c>
      <c r="L14" s="36" t="s">
        <v>120</v>
      </c>
    </row>
    <row r="15" spans="1:12">
      <c r="A15" s="30">
        <f t="shared" ca="1" si="0"/>
        <v>976</v>
      </c>
      <c r="B15" s="77"/>
      <c r="K15" s="24">
        <v>14</v>
      </c>
      <c r="L15" s="36" t="s">
        <v>121</v>
      </c>
    </row>
    <row r="16" spans="1:12">
      <c r="A16" s="30">
        <f t="shared" ca="1" si="0"/>
        <v>22</v>
      </c>
      <c r="B16" s="77"/>
      <c r="K16" s="24">
        <v>15</v>
      </c>
      <c r="L16" s="36" t="s">
        <v>122</v>
      </c>
    </row>
    <row r="17" spans="1:12">
      <c r="A17" s="30">
        <f t="shared" ca="1" si="0"/>
        <v>390</v>
      </c>
      <c r="B17" s="77"/>
      <c r="K17" s="24">
        <v>16</v>
      </c>
      <c r="L17" s="36" t="s">
        <v>123</v>
      </c>
    </row>
    <row r="18" spans="1:12">
      <c r="A18" s="30">
        <f t="shared" ca="1" si="0"/>
        <v>528</v>
      </c>
      <c r="B18" s="77"/>
      <c r="K18" s="24">
        <v>17</v>
      </c>
      <c r="L18" s="36" t="s">
        <v>124</v>
      </c>
    </row>
    <row r="19" spans="1:12" ht="13.5" thickBot="1">
      <c r="A19" s="30">
        <f t="shared" ca="1" si="0"/>
        <v>596</v>
      </c>
      <c r="B19" s="77"/>
      <c r="K19" s="24">
        <v>18</v>
      </c>
      <c r="L19" s="36" t="s">
        <v>125</v>
      </c>
    </row>
    <row r="20" spans="1:12">
      <c r="A20" s="30">
        <f t="shared" ca="1" si="0"/>
        <v>357</v>
      </c>
      <c r="B20" s="77"/>
      <c r="F20" s="111">
        <v>1</v>
      </c>
      <c r="G20" s="112" t="s">
        <v>232</v>
      </c>
      <c r="H20" s="112" t="s">
        <v>242</v>
      </c>
      <c r="I20" s="112"/>
      <c r="J20" s="113"/>
      <c r="K20" s="24">
        <v>19</v>
      </c>
      <c r="L20" s="36" t="s">
        <v>126</v>
      </c>
    </row>
    <row r="21" spans="1:12">
      <c r="A21" s="30">
        <f t="shared" ca="1" si="0"/>
        <v>536</v>
      </c>
      <c r="B21" s="77"/>
      <c r="F21" s="114">
        <v>2</v>
      </c>
      <c r="G21" s="110" t="s">
        <v>233</v>
      </c>
      <c r="H21" s="110" t="s">
        <v>243</v>
      </c>
      <c r="I21" s="110" t="s">
        <v>251</v>
      </c>
      <c r="J21" s="115" t="s">
        <v>260</v>
      </c>
      <c r="K21" s="24">
        <v>20</v>
      </c>
      <c r="L21" s="36" t="s">
        <v>127</v>
      </c>
    </row>
    <row r="22" spans="1:12">
      <c r="A22" s="35"/>
      <c r="F22" s="114">
        <v>3</v>
      </c>
      <c r="G22" s="110" t="s">
        <v>234</v>
      </c>
      <c r="H22" s="110" t="s">
        <v>244</v>
      </c>
      <c r="I22" s="110" t="s">
        <v>252</v>
      </c>
      <c r="J22" s="115" t="s">
        <v>261</v>
      </c>
      <c r="K22" s="24">
        <v>21</v>
      </c>
      <c r="L22" s="36" t="s">
        <v>71</v>
      </c>
    </row>
    <row r="23" spans="1:12">
      <c r="A23" s="35"/>
      <c r="F23" s="114">
        <v>4</v>
      </c>
      <c r="G23" s="110" t="s">
        <v>235</v>
      </c>
      <c r="H23" s="110" t="s">
        <v>245</v>
      </c>
      <c r="I23" s="110" t="s">
        <v>253</v>
      </c>
      <c r="J23" s="115" t="s">
        <v>262</v>
      </c>
      <c r="K23" s="24">
        <v>22</v>
      </c>
      <c r="L23" s="36" t="s">
        <v>72</v>
      </c>
    </row>
    <row r="24" spans="1:12">
      <c r="A24" s="35"/>
      <c r="F24" s="114">
        <v>5</v>
      </c>
      <c r="G24" s="110" t="s">
        <v>236</v>
      </c>
      <c r="H24" s="110" t="s">
        <v>246</v>
      </c>
      <c r="I24" s="110" t="s">
        <v>254</v>
      </c>
      <c r="J24" s="115" t="s">
        <v>263</v>
      </c>
      <c r="K24" s="24">
        <v>23</v>
      </c>
      <c r="L24" s="36" t="s">
        <v>73</v>
      </c>
    </row>
    <row r="25" spans="1:12">
      <c r="A25" s="35"/>
      <c r="F25" s="114">
        <v>6</v>
      </c>
      <c r="G25" s="110" t="s">
        <v>237</v>
      </c>
      <c r="H25" s="110" t="s">
        <v>247</v>
      </c>
      <c r="I25" s="110" t="s">
        <v>255</v>
      </c>
      <c r="J25" s="115" t="s">
        <v>264</v>
      </c>
      <c r="K25" s="24">
        <v>24</v>
      </c>
      <c r="L25" s="36" t="s">
        <v>74</v>
      </c>
    </row>
    <row r="26" spans="1:12">
      <c r="A26" s="35"/>
      <c r="F26" s="114">
        <v>7</v>
      </c>
      <c r="G26" s="110" t="s">
        <v>238</v>
      </c>
      <c r="H26" s="110" t="s">
        <v>248</v>
      </c>
      <c r="I26" s="110" t="s">
        <v>256</v>
      </c>
      <c r="J26" s="115" t="s">
        <v>265</v>
      </c>
      <c r="K26" s="24">
        <v>25</v>
      </c>
      <c r="L26" s="36" t="s">
        <v>75</v>
      </c>
    </row>
    <row r="27" spans="1:12">
      <c r="F27" s="114">
        <v>8</v>
      </c>
      <c r="G27" s="110" t="s">
        <v>239</v>
      </c>
      <c r="H27" s="110" t="s">
        <v>249</v>
      </c>
      <c r="I27" s="110" t="s">
        <v>257</v>
      </c>
      <c r="J27" s="115" t="s">
        <v>266</v>
      </c>
      <c r="K27" s="24">
        <v>26</v>
      </c>
      <c r="L27" s="36" t="s">
        <v>76</v>
      </c>
    </row>
    <row r="28" spans="1:12">
      <c r="F28" s="114">
        <v>9</v>
      </c>
      <c r="G28" s="110" t="s">
        <v>240</v>
      </c>
      <c r="H28" s="110" t="s">
        <v>250</v>
      </c>
      <c r="I28" s="110" t="s">
        <v>258</v>
      </c>
      <c r="J28" s="115" t="s">
        <v>267</v>
      </c>
      <c r="K28" s="24">
        <v>27</v>
      </c>
      <c r="L28" s="36" t="s">
        <v>114</v>
      </c>
    </row>
    <row r="29" spans="1:12" ht="13.5" thickBot="1">
      <c r="B29" s="64"/>
      <c r="F29" s="116">
        <v>10</v>
      </c>
      <c r="G29" s="117" t="s">
        <v>241</v>
      </c>
      <c r="H29" s="117"/>
      <c r="I29" s="117" t="s">
        <v>259</v>
      </c>
      <c r="J29" s="118"/>
      <c r="K29" s="24">
        <v>28</v>
      </c>
      <c r="L29" s="36" t="s">
        <v>115</v>
      </c>
    </row>
    <row r="30" spans="1:12">
      <c r="B30" s="64"/>
      <c r="K30" s="24">
        <v>29</v>
      </c>
      <c r="L30" s="36" t="s">
        <v>116</v>
      </c>
    </row>
    <row r="31" spans="1:12">
      <c r="K31" s="24">
        <v>30</v>
      </c>
      <c r="L31" s="36" t="s">
        <v>117</v>
      </c>
    </row>
    <row r="32" spans="1:12">
      <c r="K32" s="24">
        <v>31</v>
      </c>
      <c r="L32" s="36" t="s">
        <v>118</v>
      </c>
    </row>
    <row r="33" spans="11:12">
      <c r="K33" s="24">
        <v>32</v>
      </c>
      <c r="L33" s="36" t="s">
        <v>119</v>
      </c>
    </row>
    <row r="34" spans="11:12">
      <c r="K34" s="24">
        <v>33</v>
      </c>
      <c r="L34" s="36" t="s">
        <v>120</v>
      </c>
    </row>
    <row r="35" spans="11:12">
      <c r="K35" s="24">
        <v>34</v>
      </c>
      <c r="L35" s="36" t="s">
        <v>121</v>
      </c>
    </row>
    <row r="36" spans="11:12">
      <c r="K36" s="24">
        <v>35</v>
      </c>
      <c r="L36" s="36" t="s">
        <v>122</v>
      </c>
    </row>
    <row r="37" spans="11:12">
      <c r="K37" s="24">
        <v>36</v>
      </c>
      <c r="L37" s="36" t="s">
        <v>123</v>
      </c>
    </row>
    <row r="38" spans="11:12">
      <c r="K38" s="24">
        <v>37</v>
      </c>
      <c r="L38" s="36" t="s">
        <v>124</v>
      </c>
    </row>
    <row r="39" spans="11:12">
      <c r="K39" s="24">
        <v>38</v>
      </c>
      <c r="L39" s="36" t="s">
        <v>125</v>
      </c>
    </row>
    <row r="40" spans="11:12">
      <c r="K40" s="24">
        <v>39</v>
      </c>
      <c r="L40" s="36" t="s">
        <v>126</v>
      </c>
    </row>
    <row r="41" spans="11:12">
      <c r="K41" s="24">
        <v>40</v>
      </c>
      <c r="L41" s="36" t="s">
        <v>127</v>
      </c>
    </row>
  </sheetData>
  <customSheetViews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4" hidden="1" customWidth="1"/>
    <col min="3" max="3" width="15" style="24" customWidth="1"/>
    <col min="4" max="4" width="12.7109375" style="24" bestFit="1" customWidth="1"/>
    <col min="5" max="5" width="21.85546875" style="24" customWidth="1"/>
    <col min="6" max="8" width="9.140625" style="24"/>
    <col min="9" max="9" width="9.140625" style="24" hidden="1" customWidth="1"/>
    <col min="10" max="10" width="3.140625" style="24" bestFit="1" customWidth="1"/>
    <col min="11" max="11" width="28" style="24" customWidth="1"/>
    <col min="12" max="16384" width="9.140625" style="24"/>
  </cols>
  <sheetData>
    <row r="1" spans="1:11" ht="12.75" customHeight="1" thickBot="1">
      <c r="C1" s="28" t="s">
        <v>273</v>
      </c>
      <c r="D1" s="28" t="s">
        <v>181</v>
      </c>
      <c r="E1" s="30" t="s">
        <v>180</v>
      </c>
    </row>
    <row r="2" spans="1:11" ht="12.75" customHeight="1" thickBot="1">
      <c r="A2" s="82">
        <f ca="1">ROUND(RAND()*15+1,0)</f>
        <v>7</v>
      </c>
      <c r="B2" s="82">
        <f ca="1">ROUND(RAND()*15+1,0)</f>
        <v>9</v>
      </c>
      <c r="C2" s="76" t="str">
        <f ca="1">VLOOKUP(A2,$I$2:$J$17,2)&amp;VLOOKUP(B2,$I$2:$J$17,2)&amp;" "&amp;ROUND(RAND()*89999+10000,0)</f>
        <v>KN 77631</v>
      </c>
      <c r="D2" s="76" t="str">
        <f ca="1">MID(C2,1,1)</f>
        <v>K</v>
      </c>
      <c r="E2" s="77"/>
      <c r="I2" s="24">
        <v>1</v>
      </c>
      <c r="J2" s="78" t="s">
        <v>65</v>
      </c>
      <c r="K2" s="79" t="s">
        <v>152</v>
      </c>
    </row>
    <row r="3" spans="1:11" ht="12.75" customHeight="1" thickBot="1">
      <c r="A3" s="82">
        <f t="shared" ref="A3:B21" ca="1" si="0">ROUND(RAND()*15+1,0)</f>
        <v>3</v>
      </c>
      <c r="B3" s="82">
        <f t="shared" ca="1" si="0"/>
        <v>10</v>
      </c>
      <c r="C3" s="76" t="str">
        <f t="shared" ref="C3:C21" ca="1" si="1">VLOOKUP(A3,$I$2:$J$17,2)&amp;VLOOKUP(B3,$I$2:$J$17,2)&amp;" "&amp;ROUND(RAND()*89999+10000,0)</f>
        <v>DO 58751</v>
      </c>
      <c r="D3" s="76" t="str">
        <f t="shared" ref="D3:D21" ca="1" si="2">MID(C3,1,1)</f>
        <v>D</v>
      </c>
      <c r="E3" s="77"/>
      <c r="I3" s="24">
        <v>2</v>
      </c>
      <c r="J3" s="80" t="s">
        <v>66</v>
      </c>
      <c r="K3" s="81" t="s">
        <v>153</v>
      </c>
    </row>
    <row r="4" spans="1:11" ht="12.75" customHeight="1" thickBot="1">
      <c r="A4" s="82">
        <f t="shared" ca="1" si="0"/>
        <v>4</v>
      </c>
      <c r="B4" s="82">
        <f t="shared" ca="1" si="0"/>
        <v>2</v>
      </c>
      <c r="C4" s="76" t="str">
        <f t="shared" ca="1" si="1"/>
        <v>EC 65539</v>
      </c>
      <c r="D4" s="76" t="str">
        <f t="shared" ca="1" si="2"/>
        <v>E</v>
      </c>
      <c r="E4" s="77"/>
      <c r="I4" s="24">
        <v>3</v>
      </c>
      <c r="J4" s="80" t="s">
        <v>67</v>
      </c>
      <c r="K4" s="81" t="s">
        <v>154</v>
      </c>
    </row>
    <row r="5" spans="1:11" ht="12.75" customHeight="1" thickBot="1">
      <c r="A5" s="82">
        <f t="shared" ca="1" si="0"/>
        <v>11</v>
      </c>
      <c r="B5" s="82">
        <f t="shared" ca="1" si="0"/>
        <v>10</v>
      </c>
      <c r="C5" s="76" t="str">
        <f t="shared" ca="1" si="1"/>
        <v>PO 56024</v>
      </c>
      <c r="D5" s="76" t="str">
        <f t="shared" ca="1" si="2"/>
        <v>P</v>
      </c>
      <c r="E5" s="77"/>
      <c r="I5" s="24">
        <v>4</v>
      </c>
      <c r="J5" s="80" t="s">
        <v>155</v>
      </c>
      <c r="K5" s="81" t="s">
        <v>156</v>
      </c>
    </row>
    <row r="6" spans="1:11" ht="12.75" customHeight="1" thickBot="1">
      <c r="A6" s="82">
        <f t="shared" ca="1" si="0"/>
        <v>5</v>
      </c>
      <c r="B6" s="82">
        <f t="shared" ca="1" si="0"/>
        <v>4</v>
      </c>
      <c r="C6" s="76" t="str">
        <f t="shared" ca="1" si="1"/>
        <v>FE 80569</v>
      </c>
      <c r="D6" s="76" t="str">
        <f t="shared" ca="1" si="2"/>
        <v>F</v>
      </c>
      <c r="E6" s="77"/>
      <c r="I6" s="24">
        <v>5</v>
      </c>
      <c r="J6" s="80" t="s">
        <v>157</v>
      </c>
      <c r="K6" s="81" t="s">
        <v>158</v>
      </c>
    </row>
    <row r="7" spans="1:11" ht="12.75" customHeight="1" thickBot="1">
      <c r="A7" s="82">
        <f t="shared" ca="1" si="0"/>
        <v>8</v>
      </c>
      <c r="B7" s="82">
        <f t="shared" ca="1" si="0"/>
        <v>7</v>
      </c>
      <c r="C7" s="76" t="str">
        <f t="shared" ca="1" si="1"/>
        <v>LK 21519</v>
      </c>
      <c r="D7" s="76" t="str">
        <f t="shared" ca="1" si="2"/>
        <v>L</v>
      </c>
      <c r="E7" s="77"/>
      <c r="I7" s="24">
        <v>6</v>
      </c>
      <c r="J7" s="80" t="s">
        <v>159</v>
      </c>
      <c r="K7" s="81" t="s">
        <v>160</v>
      </c>
    </row>
    <row r="8" spans="1:11" ht="12.75" customHeight="1" thickBot="1">
      <c r="A8" s="82">
        <f t="shared" ca="1" si="0"/>
        <v>14</v>
      </c>
      <c r="B8" s="82">
        <f t="shared" ca="1" si="0"/>
        <v>6</v>
      </c>
      <c r="C8" s="76" t="str">
        <f t="shared" ca="1" si="1"/>
        <v>TG 67893</v>
      </c>
      <c r="D8" s="76" t="str">
        <f t="shared" ca="1" si="2"/>
        <v>T</v>
      </c>
      <c r="E8" s="77"/>
      <c r="I8" s="24">
        <v>7</v>
      </c>
      <c r="J8" s="80" t="s">
        <v>161</v>
      </c>
      <c r="K8" s="81" t="s">
        <v>162</v>
      </c>
    </row>
    <row r="9" spans="1:11" ht="12.75" customHeight="1" thickBot="1">
      <c r="A9" s="82">
        <f t="shared" ca="1" si="0"/>
        <v>15</v>
      </c>
      <c r="B9" s="82">
        <f t="shared" ca="1" si="0"/>
        <v>7</v>
      </c>
      <c r="C9" s="76" t="str">
        <f t="shared" ca="1" si="1"/>
        <v>WK 35706</v>
      </c>
      <c r="D9" s="76" t="str">
        <f t="shared" ca="1" si="2"/>
        <v>W</v>
      </c>
      <c r="E9" s="77"/>
      <c r="I9" s="24">
        <v>8</v>
      </c>
      <c r="J9" s="80" t="s">
        <v>163</v>
      </c>
      <c r="K9" s="81" t="s">
        <v>164</v>
      </c>
    </row>
    <row r="10" spans="1:11" ht="12.75" customHeight="1" thickBot="1">
      <c r="A10" s="82">
        <f t="shared" ca="1" si="0"/>
        <v>3</v>
      </c>
      <c r="B10" s="82">
        <f t="shared" ca="1" si="0"/>
        <v>8</v>
      </c>
      <c r="C10" s="76" t="str">
        <f t="shared" ca="1" si="1"/>
        <v>DL 96451</v>
      </c>
      <c r="D10" s="76" t="str">
        <f t="shared" ca="1" si="2"/>
        <v>D</v>
      </c>
      <c r="E10" s="77"/>
      <c r="I10" s="24">
        <v>9</v>
      </c>
      <c r="J10" s="80" t="s">
        <v>165</v>
      </c>
      <c r="K10" s="81" t="s">
        <v>166</v>
      </c>
    </row>
    <row r="11" spans="1:11" ht="12.75" customHeight="1" thickBot="1">
      <c r="A11" s="82">
        <f t="shared" ca="1" si="0"/>
        <v>2</v>
      </c>
      <c r="B11" s="82">
        <f t="shared" ca="1" si="0"/>
        <v>6</v>
      </c>
      <c r="C11" s="76" t="str">
        <f t="shared" ca="1" si="1"/>
        <v>CG 79956</v>
      </c>
      <c r="D11" s="76" t="str">
        <f t="shared" ca="1" si="2"/>
        <v>C</v>
      </c>
      <c r="E11" s="77"/>
      <c r="I11" s="24">
        <v>10</v>
      </c>
      <c r="J11" s="80" t="s">
        <v>167</v>
      </c>
      <c r="K11" s="81" t="s">
        <v>168</v>
      </c>
    </row>
    <row r="12" spans="1:11" ht="12.75" customHeight="1" thickBot="1">
      <c r="A12" s="82">
        <f t="shared" ca="1" si="0"/>
        <v>7</v>
      </c>
      <c r="B12" s="82">
        <f t="shared" ca="1" si="0"/>
        <v>8</v>
      </c>
      <c r="C12" s="76" t="str">
        <f t="shared" ca="1" si="1"/>
        <v>KL 68091</v>
      </c>
      <c r="D12" s="76" t="str">
        <f t="shared" ca="1" si="2"/>
        <v>K</v>
      </c>
      <c r="E12" s="77"/>
      <c r="I12" s="24">
        <v>11</v>
      </c>
      <c r="J12" s="80" t="s">
        <v>169</v>
      </c>
      <c r="K12" s="81" t="s">
        <v>170</v>
      </c>
    </row>
    <row r="13" spans="1:11" ht="12.75" customHeight="1" thickBot="1">
      <c r="A13" s="82">
        <f t="shared" ca="1" si="0"/>
        <v>4</v>
      </c>
      <c r="B13" s="82">
        <f t="shared" ca="1" si="0"/>
        <v>1</v>
      </c>
      <c r="C13" s="76" t="str">
        <f t="shared" ca="1" si="1"/>
        <v>EB 86276</v>
      </c>
      <c r="D13" s="76" t="str">
        <f t="shared" ca="1" si="2"/>
        <v>E</v>
      </c>
      <c r="E13" s="77"/>
      <c r="I13" s="24">
        <v>12</v>
      </c>
      <c r="J13" s="80" t="s">
        <v>171</v>
      </c>
      <c r="K13" s="81" t="s">
        <v>172</v>
      </c>
    </row>
    <row r="14" spans="1:11" ht="12.75" customHeight="1" thickBot="1">
      <c r="A14" s="82">
        <f t="shared" ca="1" si="0"/>
        <v>7</v>
      </c>
      <c r="B14" s="82">
        <f t="shared" ca="1" si="0"/>
        <v>4</v>
      </c>
      <c r="C14" s="76" t="str">
        <f t="shared" ca="1" si="1"/>
        <v>KE 37625</v>
      </c>
      <c r="D14" s="76" t="str">
        <f t="shared" ca="1" si="2"/>
        <v>K</v>
      </c>
      <c r="E14" s="77"/>
      <c r="I14" s="24">
        <v>13</v>
      </c>
      <c r="J14" s="80" t="s">
        <v>173</v>
      </c>
      <c r="K14" s="81" t="s">
        <v>174</v>
      </c>
    </row>
    <row r="15" spans="1:11" ht="12.75" customHeight="1" thickBot="1">
      <c r="A15" s="82">
        <f t="shared" ca="1" si="0"/>
        <v>16</v>
      </c>
      <c r="B15" s="82">
        <f t="shared" ca="1" si="0"/>
        <v>9</v>
      </c>
      <c r="C15" s="76" t="str">
        <f t="shared" ca="1" si="1"/>
        <v>ZN 27377</v>
      </c>
      <c r="D15" s="76" t="str">
        <f t="shared" ca="1" si="2"/>
        <v>Z</v>
      </c>
      <c r="E15" s="77"/>
      <c r="I15" s="24">
        <v>14</v>
      </c>
      <c r="J15" s="80" t="s">
        <v>141</v>
      </c>
      <c r="K15" s="81" t="s">
        <v>175</v>
      </c>
    </row>
    <row r="16" spans="1:11" ht="12.75" customHeight="1" thickBot="1">
      <c r="A16" s="82">
        <f t="shared" ca="1" si="0"/>
        <v>14</v>
      </c>
      <c r="B16" s="82">
        <f t="shared" ca="1" si="0"/>
        <v>4</v>
      </c>
      <c r="C16" s="76" t="str">
        <f t="shared" ca="1" si="1"/>
        <v>TE 53419</v>
      </c>
      <c r="D16" s="76" t="str">
        <f t="shared" ca="1" si="2"/>
        <v>T</v>
      </c>
      <c r="E16" s="77"/>
      <c r="I16" s="24">
        <v>15</v>
      </c>
      <c r="J16" s="80" t="s">
        <v>176</v>
      </c>
      <c r="K16" s="81" t="s">
        <v>177</v>
      </c>
    </row>
    <row r="17" spans="1:11" ht="12.75" customHeight="1" thickBot="1">
      <c r="A17" s="82">
        <f t="shared" ca="1" si="0"/>
        <v>4</v>
      </c>
      <c r="B17" s="82">
        <f t="shared" ca="1" si="0"/>
        <v>15</v>
      </c>
      <c r="C17" s="76" t="str">
        <f t="shared" ca="1" si="1"/>
        <v>EW 72647</v>
      </c>
      <c r="D17" s="76" t="str">
        <f t="shared" ca="1" si="2"/>
        <v>E</v>
      </c>
      <c r="E17" s="77"/>
      <c r="I17" s="24">
        <v>16</v>
      </c>
      <c r="J17" s="80" t="s">
        <v>178</v>
      </c>
      <c r="K17" s="81" t="s">
        <v>179</v>
      </c>
    </row>
    <row r="18" spans="1:11" ht="12.75" customHeight="1">
      <c r="A18" s="82">
        <f t="shared" ca="1" si="0"/>
        <v>4</v>
      </c>
      <c r="B18" s="82">
        <f t="shared" ca="1" si="0"/>
        <v>5</v>
      </c>
      <c r="C18" s="76" t="str">
        <f t="shared" ca="1" si="1"/>
        <v>EF 37702</v>
      </c>
      <c r="D18" s="76" t="str">
        <f t="shared" ca="1" si="2"/>
        <v>E</v>
      </c>
      <c r="E18" s="77"/>
    </row>
    <row r="19" spans="1:11" ht="12.75" customHeight="1">
      <c r="A19" s="82">
        <f t="shared" ca="1" si="0"/>
        <v>10</v>
      </c>
      <c r="B19" s="82">
        <f t="shared" ca="1" si="0"/>
        <v>8</v>
      </c>
      <c r="C19" s="76" t="str">
        <f t="shared" ca="1" si="1"/>
        <v>OL 66352</v>
      </c>
      <c r="D19" s="76" t="str">
        <f t="shared" ca="1" si="2"/>
        <v>O</v>
      </c>
      <c r="E19" s="77"/>
    </row>
    <row r="20" spans="1:11" ht="12.75" customHeight="1">
      <c r="A20" s="82">
        <f t="shared" ca="1" si="0"/>
        <v>8</v>
      </c>
      <c r="B20" s="82">
        <f t="shared" ca="1" si="0"/>
        <v>7</v>
      </c>
      <c r="C20" s="76" t="str">
        <f t="shared" ca="1" si="1"/>
        <v>LK 99819</v>
      </c>
      <c r="D20" s="76" t="str">
        <f t="shared" ca="1" si="2"/>
        <v>L</v>
      </c>
      <c r="E20" s="77"/>
    </row>
    <row r="21" spans="1:11" ht="12.75" customHeight="1">
      <c r="A21" s="82">
        <f t="shared" ca="1" si="0"/>
        <v>11</v>
      </c>
      <c r="B21" s="82">
        <f t="shared" ca="1" si="0"/>
        <v>9</v>
      </c>
      <c r="C21" s="76" t="str">
        <f t="shared" ca="1" si="1"/>
        <v>PN 82290</v>
      </c>
      <c r="D21" s="76" t="str">
        <f t="shared" ca="1" si="2"/>
        <v>P</v>
      </c>
      <c r="E21" s="77"/>
    </row>
  </sheetData>
  <customSheetViews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4" hidden="1" customWidth="1"/>
    <col min="2" max="2" width="15" style="24" customWidth="1"/>
    <col min="3" max="3" width="12.7109375" style="24" bestFit="1" customWidth="1"/>
    <col min="4" max="4" width="24.5703125" style="24" bestFit="1" customWidth="1"/>
    <col min="5" max="7" width="9.140625" style="24"/>
    <col min="8" max="8" width="4.28515625" style="24" hidden="1" customWidth="1"/>
    <col min="9" max="9" width="3.140625" style="24" bestFit="1" customWidth="1"/>
    <col min="10" max="10" width="28" style="24" customWidth="1"/>
    <col min="11" max="16384" width="9.140625" style="24"/>
  </cols>
  <sheetData>
    <row r="1" spans="1:10" ht="12.75" customHeight="1">
      <c r="B1" s="28" t="s">
        <v>182</v>
      </c>
      <c r="C1" s="28" t="s">
        <v>183</v>
      </c>
      <c r="D1" s="30" t="s">
        <v>186</v>
      </c>
    </row>
    <row r="2" spans="1:10" ht="12.75" customHeight="1">
      <c r="A2" s="82">
        <f ca="1">ROUND(RAND()*9+1,0)</f>
        <v>10</v>
      </c>
      <c r="B2" s="26" t="s">
        <v>54</v>
      </c>
      <c r="C2" s="76" t="str">
        <f ca="1">VLOOKUP(A2,$H$2:$I$11,2)</f>
        <v>W</v>
      </c>
      <c r="D2" s="77"/>
      <c r="H2" s="24">
        <v>1</v>
      </c>
      <c r="I2" s="86" t="s">
        <v>157</v>
      </c>
      <c r="J2" s="87" t="s">
        <v>221</v>
      </c>
    </row>
    <row r="3" spans="1:10" ht="12.75" customHeight="1">
      <c r="A3" s="82">
        <f t="shared" ref="A3:A25" ca="1" si="0">ROUND(RAND()*9+1,0)</f>
        <v>3</v>
      </c>
      <c r="B3" s="26" t="s">
        <v>55</v>
      </c>
      <c r="C3" s="76" t="str">
        <f t="shared" ref="C3:C25" ca="1" si="1">VLOOKUP(A3,$H$2:$I$11,2)</f>
        <v>K</v>
      </c>
      <c r="D3" s="77"/>
      <c r="H3" s="24">
        <v>2</v>
      </c>
      <c r="I3" s="86" t="s">
        <v>159</v>
      </c>
      <c r="J3" s="87" t="s">
        <v>222</v>
      </c>
    </row>
    <row r="4" spans="1:10" ht="12.75" customHeight="1">
      <c r="A4" s="82">
        <f t="shared" ca="1" si="0"/>
        <v>5</v>
      </c>
      <c r="B4" s="26" t="s">
        <v>56</v>
      </c>
      <c r="C4" s="76" t="str">
        <f t="shared" ca="1" si="1"/>
        <v>N</v>
      </c>
      <c r="D4" s="77"/>
      <c r="H4" s="24">
        <v>3</v>
      </c>
      <c r="I4" s="86" t="s">
        <v>161</v>
      </c>
      <c r="J4" s="87" t="s">
        <v>223</v>
      </c>
    </row>
    <row r="5" spans="1:10" ht="12.75" customHeight="1">
      <c r="A5" s="82">
        <f t="shared" ca="1" si="0"/>
        <v>6</v>
      </c>
      <c r="B5" s="26" t="s">
        <v>57</v>
      </c>
      <c r="C5" s="76" t="str">
        <f t="shared" ca="1" si="1"/>
        <v>P</v>
      </c>
      <c r="D5" s="77"/>
      <c r="H5" s="24">
        <v>4</v>
      </c>
      <c r="I5" s="86" t="s">
        <v>184</v>
      </c>
      <c r="J5" s="87" t="s">
        <v>224</v>
      </c>
    </row>
    <row r="6" spans="1:10" ht="12.75" customHeight="1">
      <c r="A6" s="82">
        <f t="shared" ca="1" si="0"/>
        <v>4</v>
      </c>
      <c r="B6" s="26" t="s">
        <v>58</v>
      </c>
      <c r="C6" s="76" t="str">
        <f t="shared" ca="1" si="1"/>
        <v>M</v>
      </c>
      <c r="D6" s="77"/>
      <c r="H6" s="24">
        <v>5</v>
      </c>
      <c r="I6" s="86" t="s">
        <v>165</v>
      </c>
      <c r="J6" s="87" t="s">
        <v>225</v>
      </c>
    </row>
    <row r="7" spans="1:10" ht="12.75" customHeight="1">
      <c r="A7" s="82">
        <f t="shared" ca="1" si="0"/>
        <v>2</v>
      </c>
      <c r="B7" s="26" t="s">
        <v>59</v>
      </c>
      <c r="C7" s="76" t="str">
        <f t="shared" ca="1" si="1"/>
        <v>G</v>
      </c>
      <c r="D7" s="77"/>
      <c r="H7" s="24">
        <v>6</v>
      </c>
      <c r="I7" s="86" t="s">
        <v>169</v>
      </c>
      <c r="J7" s="87" t="s">
        <v>226</v>
      </c>
    </row>
    <row r="8" spans="1:10" ht="12.75" customHeight="1">
      <c r="A8" s="82">
        <f t="shared" ca="1" si="0"/>
        <v>8</v>
      </c>
      <c r="B8" s="26" t="s">
        <v>60</v>
      </c>
      <c r="C8" s="76" t="str">
        <f t="shared" ca="1" si="1"/>
        <v>S</v>
      </c>
      <c r="D8" s="77"/>
      <c r="H8" s="24">
        <v>7</v>
      </c>
      <c r="I8" s="86" t="s">
        <v>171</v>
      </c>
      <c r="J8" s="87" t="s">
        <v>227</v>
      </c>
    </row>
    <row r="9" spans="1:10" ht="12.75" customHeight="1">
      <c r="A9" s="82">
        <f t="shared" ca="1" si="0"/>
        <v>8</v>
      </c>
      <c r="B9" s="26" t="s">
        <v>61</v>
      </c>
      <c r="C9" s="76" t="str">
        <f t="shared" ca="1" si="1"/>
        <v>S</v>
      </c>
      <c r="D9" s="77"/>
      <c r="H9" s="24">
        <v>8</v>
      </c>
      <c r="I9" s="86" t="s">
        <v>173</v>
      </c>
      <c r="J9" s="87" t="s">
        <v>228</v>
      </c>
    </row>
    <row r="10" spans="1:10" ht="12.75" customHeight="1">
      <c r="A10" s="82">
        <f t="shared" ca="1" si="0"/>
        <v>7</v>
      </c>
      <c r="B10" s="26" t="s">
        <v>62</v>
      </c>
      <c r="C10" s="76" t="str">
        <f t="shared" ca="1" si="1"/>
        <v>R</v>
      </c>
      <c r="D10" s="77"/>
      <c r="H10" s="24">
        <v>9</v>
      </c>
      <c r="I10" s="86" t="s">
        <v>185</v>
      </c>
      <c r="J10" s="87" t="s">
        <v>229</v>
      </c>
    </row>
    <row r="11" spans="1:10" ht="12.75" customHeight="1">
      <c r="A11" s="82">
        <f t="shared" ca="1" si="0"/>
        <v>2</v>
      </c>
      <c r="B11" s="26" t="s">
        <v>63</v>
      </c>
      <c r="C11" s="76" t="str">
        <f t="shared" ca="1" si="1"/>
        <v>G</v>
      </c>
      <c r="D11" s="77"/>
      <c r="H11" s="24">
        <v>10</v>
      </c>
      <c r="I11" s="86" t="s">
        <v>176</v>
      </c>
      <c r="J11" s="87" t="s">
        <v>279</v>
      </c>
    </row>
    <row r="12" spans="1:10" ht="12.75" customHeight="1">
      <c r="A12" s="82">
        <f t="shared" ca="1" si="0"/>
        <v>10</v>
      </c>
      <c r="B12" s="26" t="s">
        <v>64</v>
      </c>
      <c r="C12" s="76" t="str">
        <f t="shared" ca="1" si="1"/>
        <v>W</v>
      </c>
      <c r="D12" s="77"/>
      <c r="H12" s="83"/>
      <c r="I12" s="84"/>
      <c r="J12" s="85"/>
    </row>
    <row r="13" spans="1:10" ht="12.75" customHeight="1">
      <c r="A13" s="82">
        <f t="shared" ca="1" si="0"/>
        <v>4</v>
      </c>
      <c r="B13" s="26" t="s">
        <v>97</v>
      </c>
      <c r="C13" s="76" t="str">
        <f t="shared" ca="1" si="1"/>
        <v>M</v>
      </c>
      <c r="D13" s="77"/>
      <c r="H13" s="83"/>
      <c r="I13" s="84"/>
      <c r="J13" s="85"/>
    </row>
    <row r="14" spans="1:10" ht="12.75" customHeight="1">
      <c r="A14" s="82">
        <f t="shared" ca="1" si="0"/>
        <v>8</v>
      </c>
      <c r="B14" s="26" t="s">
        <v>98</v>
      </c>
      <c r="C14" s="76" t="str">
        <f t="shared" ca="1" si="1"/>
        <v>S</v>
      </c>
      <c r="D14" s="77"/>
      <c r="H14" s="83"/>
      <c r="I14" s="84"/>
      <c r="J14" s="85"/>
    </row>
    <row r="15" spans="1:10" ht="12.75" customHeight="1">
      <c r="A15" s="82">
        <f t="shared" ca="1" si="0"/>
        <v>2</v>
      </c>
      <c r="B15" s="26" t="s">
        <v>99</v>
      </c>
      <c r="C15" s="76" t="str">
        <f t="shared" ca="1" si="1"/>
        <v>G</v>
      </c>
      <c r="D15" s="77"/>
      <c r="H15" s="83"/>
      <c r="I15" s="84"/>
      <c r="J15" s="85"/>
    </row>
    <row r="16" spans="1:10" ht="12.75" customHeight="1">
      <c r="A16" s="82">
        <f t="shared" ca="1" si="0"/>
        <v>3</v>
      </c>
      <c r="B16" s="26" t="s">
        <v>100</v>
      </c>
      <c r="C16" s="76" t="str">
        <f t="shared" ca="1" si="1"/>
        <v>K</v>
      </c>
      <c r="D16" s="77"/>
      <c r="H16" s="83"/>
      <c r="I16" s="84"/>
      <c r="J16" s="85"/>
    </row>
    <row r="17" spans="1:10" ht="12.75" customHeight="1">
      <c r="A17" s="82">
        <f t="shared" ca="1" si="0"/>
        <v>2</v>
      </c>
      <c r="B17" s="26" t="s">
        <v>101</v>
      </c>
      <c r="C17" s="76" t="str">
        <f t="shared" ca="1" si="1"/>
        <v>G</v>
      </c>
      <c r="D17" s="77"/>
      <c r="H17" s="83"/>
      <c r="I17" s="84"/>
      <c r="J17" s="85"/>
    </row>
    <row r="18" spans="1:10" ht="12.75" customHeight="1">
      <c r="A18" s="82">
        <f t="shared" ca="1" si="0"/>
        <v>3</v>
      </c>
      <c r="B18" s="26" t="s">
        <v>102</v>
      </c>
      <c r="C18" s="76" t="str">
        <f t="shared" ca="1" si="1"/>
        <v>K</v>
      </c>
      <c r="D18" s="77"/>
    </row>
    <row r="19" spans="1:10" ht="12.75" customHeight="1">
      <c r="A19" s="82">
        <f t="shared" ca="1" si="0"/>
        <v>9</v>
      </c>
      <c r="B19" s="26" t="s">
        <v>103</v>
      </c>
      <c r="C19" s="76" t="str">
        <f t="shared" ca="1" si="1"/>
        <v>U</v>
      </c>
      <c r="D19" s="77"/>
    </row>
    <row r="20" spans="1:10" ht="12.75" customHeight="1">
      <c r="A20" s="82">
        <f t="shared" ca="1" si="0"/>
        <v>2</v>
      </c>
      <c r="B20" s="26" t="s">
        <v>104</v>
      </c>
      <c r="C20" s="76" t="str">
        <f t="shared" ca="1" si="1"/>
        <v>G</v>
      </c>
      <c r="D20" s="77"/>
    </row>
    <row r="21" spans="1:10" ht="12.75" customHeight="1">
      <c r="A21" s="82">
        <f t="shared" ca="1" si="0"/>
        <v>2</v>
      </c>
      <c r="B21" s="26" t="s">
        <v>105</v>
      </c>
      <c r="C21" s="76" t="str">
        <f t="shared" ca="1" si="1"/>
        <v>G</v>
      </c>
      <c r="D21" s="77"/>
    </row>
    <row r="22" spans="1:10" ht="12.75" customHeight="1">
      <c r="A22" s="82">
        <f t="shared" ca="1" si="0"/>
        <v>5</v>
      </c>
      <c r="B22" s="26" t="s">
        <v>106</v>
      </c>
      <c r="C22" s="76" t="str">
        <f t="shared" ca="1" si="1"/>
        <v>N</v>
      </c>
      <c r="D22" s="77"/>
    </row>
    <row r="23" spans="1:10" ht="12.75" customHeight="1">
      <c r="A23" s="82">
        <f t="shared" ca="1" si="0"/>
        <v>1</v>
      </c>
      <c r="B23" s="26" t="s">
        <v>107</v>
      </c>
      <c r="C23" s="76" t="str">
        <f t="shared" ca="1" si="1"/>
        <v>F</v>
      </c>
      <c r="D23" s="77"/>
    </row>
    <row r="24" spans="1:10" ht="12.75" customHeight="1">
      <c r="A24" s="82">
        <f t="shared" ca="1" si="0"/>
        <v>4</v>
      </c>
      <c r="B24" s="26" t="s">
        <v>108</v>
      </c>
      <c r="C24" s="76" t="str">
        <f t="shared" ca="1" si="1"/>
        <v>M</v>
      </c>
      <c r="D24" s="77"/>
    </row>
    <row r="25" spans="1:10" ht="12.75" customHeight="1">
      <c r="A25" s="82">
        <f t="shared" ca="1" si="0"/>
        <v>8</v>
      </c>
      <c r="B25" s="26" t="s">
        <v>109</v>
      </c>
      <c r="C25" s="76" t="str">
        <f t="shared" ca="1" si="1"/>
        <v>S</v>
      </c>
      <c r="D25" s="77"/>
    </row>
  </sheetData>
  <sortState ref="I2:J11">
    <sortCondition ref="I2:I11"/>
  </sortState>
  <customSheetViews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4" hidden="1" customWidth="1"/>
    <col min="2" max="2" width="15" style="24" customWidth="1"/>
    <col min="3" max="3" width="12.7109375" style="24" bestFit="1" customWidth="1"/>
    <col min="4" max="6" width="9.140625" style="24"/>
    <col min="7" max="7" width="4.28515625" style="24" hidden="1" customWidth="1"/>
    <col min="8" max="8" width="3.140625" style="24" bestFit="1" customWidth="1"/>
    <col min="9" max="9" width="28" style="24" customWidth="1"/>
    <col min="10" max="10" width="15.7109375" style="24" bestFit="1" customWidth="1"/>
    <col min="11" max="16384" width="9.140625" style="24"/>
  </cols>
  <sheetData>
    <row r="1" spans="1:10" ht="12.75" customHeight="1">
      <c r="B1" s="28" t="s">
        <v>182</v>
      </c>
      <c r="C1" s="28" t="s">
        <v>183</v>
      </c>
      <c r="J1" s="28" t="s">
        <v>230</v>
      </c>
    </row>
    <row r="2" spans="1:10" ht="12.75" customHeight="1">
      <c r="A2" s="82">
        <f ca="1">ROUND(RAND()*9+1,0)</f>
        <v>3</v>
      </c>
      <c r="B2" s="26" t="s">
        <v>54</v>
      </c>
      <c r="C2" s="76" t="str">
        <f ca="1">VLOOKUP(A2,$G$2:$H$11,2)</f>
        <v>K</v>
      </c>
      <c r="G2" s="24">
        <v>1</v>
      </c>
      <c r="H2" s="86" t="s">
        <v>157</v>
      </c>
      <c r="I2" s="108" t="s">
        <v>221</v>
      </c>
      <c r="J2" s="109"/>
    </row>
    <row r="3" spans="1:10" ht="12.75" customHeight="1">
      <c r="A3" s="82">
        <f t="shared" ref="A3:A25" ca="1" si="0">ROUND(RAND()*9+1,0)</f>
        <v>5</v>
      </c>
      <c r="B3" s="26" t="s">
        <v>55</v>
      </c>
      <c r="C3" s="76" t="str">
        <f t="shared" ref="C3:C25" ca="1" si="1">VLOOKUP(A3,$G$2:$H$11,2)</f>
        <v>N</v>
      </c>
      <c r="G3" s="24">
        <v>2</v>
      </c>
      <c r="H3" s="86" t="s">
        <v>159</v>
      </c>
      <c r="I3" s="108" t="s">
        <v>222</v>
      </c>
      <c r="J3" s="109"/>
    </row>
    <row r="4" spans="1:10" ht="12.75" customHeight="1">
      <c r="A4" s="82">
        <f t="shared" ca="1" si="0"/>
        <v>3</v>
      </c>
      <c r="B4" s="26" t="s">
        <v>56</v>
      </c>
      <c r="C4" s="76" t="str">
        <f t="shared" ca="1" si="1"/>
        <v>K</v>
      </c>
      <c r="G4" s="24">
        <v>3</v>
      </c>
      <c r="H4" s="86" t="s">
        <v>161</v>
      </c>
      <c r="I4" s="108" t="s">
        <v>223</v>
      </c>
      <c r="J4" s="109"/>
    </row>
    <row r="5" spans="1:10" ht="12.75" customHeight="1">
      <c r="A5" s="82">
        <f t="shared" ca="1" si="0"/>
        <v>5</v>
      </c>
      <c r="B5" s="26" t="s">
        <v>57</v>
      </c>
      <c r="C5" s="76" t="str">
        <f t="shared" ca="1" si="1"/>
        <v>N</v>
      </c>
      <c r="G5" s="24">
        <v>4</v>
      </c>
      <c r="H5" s="86" t="s">
        <v>184</v>
      </c>
      <c r="I5" s="108" t="s">
        <v>224</v>
      </c>
      <c r="J5" s="109"/>
    </row>
    <row r="6" spans="1:10" ht="12.75" customHeight="1">
      <c r="A6" s="82">
        <f t="shared" ca="1" si="0"/>
        <v>1</v>
      </c>
      <c r="B6" s="26" t="s">
        <v>58</v>
      </c>
      <c r="C6" s="76" t="str">
        <f t="shared" ca="1" si="1"/>
        <v>F</v>
      </c>
      <c r="G6" s="24">
        <v>5</v>
      </c>
      <c r="H6" s="86" t="s">
        <v>165</v>
      </c>
      <c r="I6" s="108" t="s">
        <v>225</v>
      </c>
      <c r="J6" s="109"/>
    </row>
    <row r="7" spans="1:10" ht="12.75" customHeight="1">
      <c r="A7" s="82">
        <f t="shared" ca="1" si="0"/>
        <v>2</v>
      </c>
      <c r="B7" s="26" t="s">
        <v>59</v>
      </c>
      <c r="C7" s="76" t="str">
        <f t="shared" ca="1" si="1"/>
        <v>G</v>
      </c>
      <c r="G7" s="24">
        <v>6</v>
      </c>
      <c r="H7" s="86" t="s">
        <v>169</v>
      </c>
      <c r="I7" s="108" t="s">
        <v>226</v>
      </c>
      <c r="J7" s="109"/>
    </row>
    <row r="8" spans="1:10" ht="12.75" customHeight="1">
      <c r="A8" s="82">
        <f t="shared" ca="1" si="0"/>
        <v>7</v>
      </c>
      <c r="B8" s="26" t="s">
        <v>60</v>
      </c>
      <c r="C8" s="76" t="str">
        <f t="shared" ca="1" si="1"/>
        <v>R</v>
      </c>
      <c r="G8" s="24">
        <v>7</v>
      </c>
      <c r="H8" s="86" t="s">
        <v>171</v>
      </c>
      <c r="I8" s="108" t="s">
        <v>227</v>
      </c>
      <c r="J8" s="109"/>
    </row>
    <row r="9" spans="1:10" ht="12.75" customHeight="1">
      <c r="A9" s="82">
        <f t="shared" ca="1" si="0"/>
        <v>8</v>
      </c>
      <c r="B9" s="26" t="s">
        <v>61</v>
      </c>
      <c r="C9" s="76" t="str">
        <f t="shared" ca="1" si="1"/>
        <v>S</v>
      </c>
      <c r="G9" s="24">
        <v>8</v>
      </c>
      <c r="H9" s="86" t="s">
        <v>173</v>
      </c>
      <c r="I9" s="108" t="s">
        <v>228</v>
      </c>
      <c r="J9" s="109"/>
    </row>
    <row r="10" spans="1:10" ht="12.75" customHeight="1">
      <c r="A10" s="82">
        <f t="shared" ca="1" si="0"/>
        <v>3</v>
      </c>
      <c r="B10" s="26" t="s">
        <v>62</v>
      </c>
      <c r="C10" s="76" t="str">
        <f t="shared" ca="1" si="1"/>
        <v>K</v>
      </c>
      <c r="G10" s="24">
        <v>9</v>
      </c>
      <c r="H10" s="86" t="s">
        <v>185</v>
      </c>
      <c r="I10" s="108" t="s">
        <v>229</v>
      </c>
      <c r="J10" s="109"/>
    </row>
    <row r="11" spans="1:10" ht="12.75" customHeight="1">
      <c r="A11" s="82">
        <f t="shared" ca="1" si="0"/>
        <v>7</v>
      </c>
      <c r="B11" s="26" t="s">
        <v>63</v>
      </c>
      <c r="C11" s="76" t="str">
        <f t="shared" ca="1" si="1"/>
        <v>R</v>
      </c>
      <c r="G11" s="24">
        <v>10</v>
      </c>
      <c r="H11" s="86" t="s">
        <v>176</v>
      </c>
      <c r="I11" s="108" t="s">
        <v>279</v>
      </c>
      <c r="J11" s="109"/>
    </row>
    <row r="12" spans="1:10" ht="12.75" customHeight="1">
      <c r="A12" s="82">
        <f t="shared" ca="1" si="0"/>
        <v>7</v>
      </c>
      <c r="B12" s="26" t="s">
        <v>64</v>
      </c>
      <c r="C12" s="76" t="str">
        <f t="shared" ca="1" si="1"/>
        <v>R</v>
      </c>
      <c r="G12" s="83"/>
      <c r="H12" s="84"/>
      <c r="I12" s="85"/>
    </row>
    <row r="13" spans="1:10" ht="12.75" customHeight="1">
      <c r="A13" s="82">
        <f t="shared" ca="1" si="0"/>
        <v>6</v>
      </c>
      <c r="B13" s="26" t="s">
        <v>97</v>
      </c>
      <c r="C13" s="76" t="str">
        <f t="shared" ca="1" si="1"/>
        <v>P</v>
      </c>
      <c r="G13" s="83"/>
      <c r="H13" s="84"/>
      <c r="I13" s="85"/>
    </row>
    <row r="14" spans="1:10" ht="12.75" customHeight="1">
      <c r="A14" s="82">
        <f t="shared" ca="1" si="0"/>
        <v>7</v>
      </c>
      <c r="B14" s="26" t="s">
        <v>98</v>
      </c>
      <c r="C14" s="76" t="str">
        <f t="shared" ca="1" si="1"/>
        <v>R</v>
      </c>
      <c r="G14" s="83"/>
      <c r="H14" s="84"/>
      <c r="I14" s="85"/>
    </row>
    <row r="15" spans="1:10" ht="12.75" customHeight="1">
      <c r="A15" s="82">
        <f t="shared" ca="1" si="0"/>
        <v>5</v>
      </c>
      <c r="B15" s="26" t="s">
        <v>99</v>
      </c>
      <c r="C15" s="76" t="str">
        <f t="shared" ca="1" si="1"/>
        <v>N</v>
      </c>
      <c r="G15" s="83"/>
      <c r="H15" s="84"/>
      <c r="I15" s="85"/>
    </row>
    <row r="16" spans="1:10" ht="12.75" customHeight="1">
      <c r="A16" s="82">
        <f t="shared" ca="1" si="0"/>
        <v>2</v>
      </c>
      <c r="B16" s="26" t="s">
        <v>100</v>
      </c>
      <c r="C16" s="76" t="str">
        <f t="shared" ca="1" si="1"/>
        <v>G</v>
      </c>
      <c r="G16" s="83"/>
      <c r="H16" s="84"/>
      <c r="I16" s="85"/>
    </row>
    <row r="17" spans="1:9" ht="12.75" customHeight="1">
      <c r="A17" s="82">
        <f t="shared" ca="1" si="0"/>
        <v>2</v>
      </c>
      <c r="B17" s="26" t="s">
        <v>101</v>
      </c>
      <c r="C17" s="76" t="str">
        <f t="shared" ca="1" si="1"/>
        <v>G</v>
      </c>
      <c r="G17" s="83"/>
      <c r="H17" s="84"/>
      <c r="I17" s="85"/>
    </row>
    <row r="18" spans="1:9" ht="12.75" customHeight="1">
      <c r="A18" s="82">
        <f t="shared" ca="1" si="0"/>
        <v>9</v>
      </c>
      <c r="B18" s="26" t="s">
        <v>102</v>
      </c>
      <c r="C18" s="76" t="str">
        <f t="shared" ca="1" si="1"/>
        <v>U</v>
      </c>
    </row>
    <row r="19" spans="1:9" ht="12.75" customHeight="1">
      <c r="A19" s="82">
        <f t="shared" ca="1" si="0"/>
        <v>6</v>
      </c>
      <c r="B19" s="26" t="s">
        <v>103</v>
      </c>
      <c r="C19" s="76" t="str">
        <f t="shared" ca="1" si="1"/>
        <v>P</v>
      </c>
    </row>
    <row r="20" spans="1:9" ht="12.75" customHeight="1">
      <c r="A20" s="82">
        <f t="shared" ca="1" si="0"/>
        <v>8</v>
      </c>
      <c r="B20" s="26" t="s">
        <v>104</v>
      </c>
      <c r="C20" s="76" t="str">
        <f t="shared" ca="1" si="1"/>
        <v>S</v>
      </c>
    </row>
    <row r="21" spans="1:9" ht="12.75" customHeight="1">
      <c r="A21" s="82">
        <f t="shared" ca="1" si="0"/>
        <v>2</v>
      </c>
      <c r="B21" s="26" t="s">
        <v>105</v>
      </c>
      <c r="C21" s="76" t="str">
        <f t="shared" ca="1" si="1"/>
        <v>G</v>
      </c>
    </row>
    <row r="22" spans="1:9" ht="12.75" customHeight="1">
      <c r="A22" s="82">
        <f t="shared" ca="1" si="0"/>
        <v>5</v>
      </c>
      <c r="B22" s="26" t="s">
        <v>106</v>
      </c>
      <c r="C22" s="76" t="str">
        <f t="shared" ca="1" si="1"/>
        <v>N</v>
      </c>
    </row>
    <row r="23" spans="1:9" ht="12.75" customHeight="1">
      <c r="A23" s="82">
        <f t="shared" ca="1" si="0"/>
        <v>4</v>
      </c>
      <c r="B23" s="26" t="s">
        <v>107</v>
      </c>
      <c r="C23" s="76" t="str">
        <f t="shared" ca="1" si="1"/>
        <v>M</v>
      </c>
    </row>
    <row r="24" spans="1:9" ht="12.75" customHeight="1">
      <c r="A24" s="82">
        <f t="shared" ca="1" si="0"/>
        <v>2</v>
      </c>
      <c r="B24" s="26" t="s">
        <v>108</v>
      </c>
      <c r="C24" s="76" t="str">
        <f t="shared" ca="1" si="1"/>
        <v>G</v>
      </c>
    </row>
    <row r="25" spans="1:9" ht="12.75" customHeight="1">
      <c r="A25" s="82">
        <f t="shared" ca="1" si="0"/>
        <v>10</v>
      </c>
      <c r="B25" s="26" t="s">
        <v>109</v>
      </c>
      <c r="C25" s="76" t="str">
        <f t="shared" ca="1" si="1"/>
        <v>W</v>
      </c>
    </row>
  </sheetData>
  <customSheetViews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4" bestFit="1" customWidth="1"/>
    <col min="2" max="2" width="8.28515625" style="24" customWidth="1"/>
    <col min="3" max="3" width="8.7109375" style="24" bestFit="1" customWidth="1"/>
    <col min="4" max="7" width="9.140625" style="24"/>
    <col min="8" max="8" width="12.42578125" style="24" bestFit="1" customWidth="1"/>
    <col min="9" max="16384" width="9.140625" style="24"/>
  </cols>
  <sheetData>
    <row r="1" spans="1:8">
      <c r="C1" s="29"/>
    </row>
    <row r="3" spans="1:8">
      <c r="A3" s="25" t="s">
        <v>53</v>
      </c>
      <c r="B3" s="25" t="s">
        <v>268</v>
      </c>
      <c r="C3" s="25" t="s">
        <v>11</v>
      </c>
    </row>
    <row r="4" spans="1:8">
      <c r="A4" s="26" t="s">
        <v>54</v>
      </c>
      <c r="B4" s="26" t="str">
        <f ca="1">IF(RAND()&lt;0.33,"1A",IF(RAND()&lt;0.66,"1B","1C"))</f>
        <v>1A</v>
      </c>
      <c r="C4" s="67">
        <f ca="1">RAND()*55+5</f>
        <v>30.632079575457738</v>
      </c>
    </row>
    <row r="5" spans="1:8">
      <c r="A5" s="26" t="s">
        <v>55</v>
      </c>
      <c r="B5" s="26" t="str">
        <f t="shared" ref="B5:B27" ca="1" si="0">IF(RAND()&lt;0.33,"1A",IF(RAND()&lt;0.66,"1B","1C"))</f>
        <v>1A</v>
      </c>
      <c r="C5" s="67">
        <f t="shared" ref="C5:C27" ca="1" si="1">RAND()*55+5</f>
        <v>45.42499114843465</v>
      </c>
    </row>
    <row r="6" spans="1:8">
      <c r="A6" s="26" t="s">
        <v>56</v>
      </c>
      <c r="B6" s="26" t="str">
        <f t="shared" ca="1" si="0"/>
        <v>1C</v>
      </c>
      <c r="C6" s="67">
        <f t="shared" ca="1" si="1"/>
        <v>17.350813546443995</v>
      </c>
    </row>
    <row r="7" spans="1:8">
      <c r="A7" s="26" t="s">
        <v>57</v>
      </c>
      <c r="B7" s="26" t="str">
        <f t="shared" ca="1" si="0"/>
        <v>1A</v>
      </c>
      <c r="C7" s="67">
        <f t="shared" ca="1" si="1"/>
        <v>19.168085874940992</v>
      </c>
    </row>
    <row r="8" spans="1:8">
      <c r="A8" s="26" t="s">
        <v>58</v>
      </c>
      <c r="B8" s="26" t="str">
        <f t="shared" ca="1" si="0"/>
        <v>1B</v>
      </c>
      <c r="C8" s="67">
        <f t="shared" ca="1" si="1"/>
        <v>8.0160799808721315</v>
      </c>
    </row>
    <row r="9" spans="1:8">
      <c r="A9" s="26" t="s">
        <v>59</v>
      </c>
      <c r="B9" s="26" t="str">
        <f t="shared" ca="1" si="0"/>
        <v>1B</v>
      </c>
      <c r="C9" s="67">
        <f t="shared" ca="1" si="1"/>
        <v>8.7694828986493754</v>
      </c>
    </row>
    <row r="10" spans="1:8">
      <c r="A10" s="26" t="s">
        <v>60</v>
      </c>
      <c r="B10" s="26" t="str">
        <f t="shared" ca="1" si="0"/>
        <v>1B</v>
      </c>
      <c r="C10" s="67">
        <f t="shared" ca="1" si="1"/>
        <v>16.15710860363653</v>
      </c>
    </row>
    <row r="11" spans="1:8">
      <c r="A11" s="26" t="s">
        <v>61</v>
      </c>
      <c r="B11" s="26" t="str">
        <f t="shared" ca="1" si="0"/>
        <v>1C</v>
      </c>
      <c r="C11" s="67">
        <f t="shared" ca="1" si="1"/>
        <v>5.3711150319802092</v>
      </c>
    </row>
    <row r="12" spans="1:8">
      <c r="A12" s="26" t="s">
        <v>62</v>
      </c>
      <c r="B12" s="26" t="str">
        <f t="shared" ca="1" si="0"/>
        <v>1C</v>
      </c>
      <c r="C12" s="67">
        <f t="shared" ca="1" si="1"/>
        <v>12.100385586738032</v>
      </c>
    </row>
    <row r="13" spans="1:8">
      <c r="A13" s="26" t="s">
        <v>63</v>
      </c>
      <c r="B13" s="26" t="str">
        <f t="shared" ca="1" si="0"/>
        <v>1B</v>
      </c>
      <c r="C13" s="67">
        <f t="shared" ca="1" si="1"/>
        <v>27.840674183663403</v>
      </c>
    </row>
    <row r="14" spans="1:8">
      <c r="A14" s="26" t="s">
        <v>64</v>
      </c>
      <c r="B14" s="26" t="str">
        <f t="shared" ca="1" si="0"/>
        <v>1B</v>
      </c>
      <c r="C14" s="67">
        <f t="shared" ca="1" si="1"/>
        <v>48.168757865602558</v>
      </c>
    </row>
    <row r="15" spans="1:8" ht="13.5" thickBot="1">
      <c r="A15" s="26" t="s">
        <v>97</v>
      </c>
      <c r="B15" s="26" t="str">
        <f t="shared" ca="1" si="0"/>
        <v>1B</v>
      </c>
      <c r="C15" s="67">
        <f t="shared" ca="1" si="1"/>
        <v>35.972525556249657</v>
      </c>
    </row>
    <row r="16" spans="1:8">
      <c r="A16" s="26" t="s">
        <v>98</v>
      </c>
      <c r="B16" s="26" t="str">
        <f t="shared" ca="1" si="0"/>
        <v>1B</v>
      </c>
      <c r="C16" s="67">
        <f t="shared" ca="1" si="1"/>
        <v>46.999948712012305</v>
      </c>
      <c r="G16" s="119" t="s">
        <v>268</v>
      </c>
      <c r="H16" s="120" t="s">
        <v>272</v>
      </c>
    </row>
    <row r="17" spans="1:8">
      <c r="A17" s="26" t="s">
        <v>99</v>
      </c>
      <c r="B17" s="26" t="str">
        <f t="shared" ca="1" si="0"/>
        <v>1C</v>
      </c>
      <c r="C17" s="67">
        <f t="shared" ca="1" si="1"/>
        <v>40.0241978782838</v>
      </c>
      <c r="G17" s="121" t="s">
        <v>269</v>
      </c>
      <c r="H17" s="123"/>
    </row>
    <row r="18" spans="1:8">
      <c r="A18" s="26" t="s">
        <v>100</v>
      </c>
      <c r="B18" s="26" t="str">
        <f t="shared" ca="1" si="0"/>
        <v>1A</v>
      </c>
      <c r="C18" s="67">
        <f t="shared" ca="1" si="1"/>
        <v>11.311567580314041</v>
      </c>
      <c r="G18" s="121" t="s">
        <v>270</v>
      </c>
      <c r="H18" s="123"/>
    </row>
    <row r="19" spans="1:8" ht="13.5" thickBot="1">
      <c r="A19" s="26" t="s">
        <v>101</v>
      </c>
      <c r="B19" s="26" t="str">
        <f t="shared" ca="1" si="0"/>
        <v>1A</v>
      </c>
      <c r="C19" s="67">
        <f t="shared" ca="1" si="1"/>
        <v>56.973073903798024</v>
      </c>
      <c r="G19" s="122" t="s">
        <v>271</v>
      </c>
      <c r="H19" s="124"/>
    </row>
    <row r="20" spans="1:8">
      <c r="A20" s="26" t="s">
        <v>102</v>
      </c>
      <c r="B20" s="26" t="str">
        <f t="shared" ca="1" si="0"/>
        <v>1A</v>
      </c>
      <c r="C20" s="67">
        <f t="shared" ca="1" si="1"/>
        <v>56.649612754516333</v>
      </c>
    </row>
    <row r="21" spans="1:8">
      <c r="A21" s="26" t="s">
        <v>103</v>
      </c>
      <c r="B21" s="26" t="str">
        <f t="shared" ca="1" si="0"/>
        <v>1B</v>
      </c>
      <c r="C21" s="67">
        <f t="shared" ca="1" si="1"/>
        <v>55.787559718058134</v>
      </c>
    </row>
    <row r="22" spans="1:8">
      <c r="A22" s="26" t="s">
        <v>104</v>
      </c>
      <c r="B22" s="26" t="str">
        <f t="shared" ca="1" si="0"/>
        <v>1A</v>
      </c>
      <c r="C22" s="67">
        <f t="shared" ca="1" si="1"/>
        <v>33.711051347845931</v>
      </c>
    </row>
    <row r="23" spans="1:8">
      <c r="A23" s="26" t="s">
        <v>105</v>
      </c>
      <c r="B23" s="26" t="str">
        <f t="shared" ca="1" si="0"/>
        <v>1B</v>
      </c>
      <c r="C23" s="67">
        <f t="shared" ca="1" si="1"/>
        <v>7.1574097613786858</v>
      </c>
    </row>
    <row r="24" spans="1:8">
      <c r="A24" s="26" t="s">
        <v>106</v>
      </c>
      <c r="B24" s="26" t="str">
        <f t="shared" ca="1" si="0"/>
        <v>1C</v>
      </c>
      <c r="C24" s="67">
        <f t="shared" ca="1" si="1"/>
        <v>10.645960471976624</v>
      </c>
    </row>
    <row r="25" spans="1:8">
      <c r="A25" s="26" t="s">
        <v>107</v>
      </c>
      <c r="B25" s="26" t="str">
        <f t="shared" ca="1" si="0"/>
        <v>1A</v>
      </c>
      <c r="C25" s="67">
        <f t="shared" ca="1" si="1"/>
        <v>48.005353955958689</v>
      </c>
    </row>
    <row r="26" spans="1:8">
      <c r="A26" s="26" t="s">
        <v>108</v>
      </c>
      <c r="B26" s="26" t="str">
        <f t="shared" ca="1" si="0"/>
        <v>1B</v>
      </c>
      <c r="C26" s="67">
        <f t="shared" ca="1" si="1"/>
        <v>54.259515039201027</v>
      </c>
    </row>
    <row r="27" spans="1:8">
      <c r="A27" s="26" t="s">
        <v>109</v>
      </c>
      <c r="B27" s="26" t="str">
        <f t="shared" ca="1" si="0"/>
        <v>1B</v>
      </c>
      <c r="C27" s="67">
        <f t="shared" ca="1" si="1"/>
        <v>45.171287147703787</v>
      </c>
    </row>
  </sheetData>
  <customSheetViews>
    <customSheetView guid="{F9B480CE-077C-416E-ACF9-56227F746F4A}">
      <selection activeCell="B13" sqref="B13"/>
      <pageMargins left="0.75" right="0.75" top="1" bottom="1" header="0.5" footer="0.5"/>
      <headerFooter alignWithMargins="0"/>
    </customSheetView>
    <customSheetView guid="{3DF5E802-5CA5-43EF-BE6A-D6FCDA5F65F2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 Zięba</cp:lastModifiedBy>
  <dcterms:created xsi:type="dcterms:W3CDTF">2006-11-26T20:35:52Z</dcterms:created>
  <dcterms:modified xsi:type="dcterms:W3CDTF">2025-09-19T10:31:27Z</dcterms:modified>
</cp:coreProperties>
</file>