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drawings/drawing11.xml" ContentType="application/vnd.openxmlformats-officedocument.drawing+xml"/>
  <Override PartName="/xl/drawings/drawing12.xml" ContentType="application/vnd.openxmlformats-officedocument.drawing+xml"/>
  <Default Extension="vml" ContentType="application/vnd.openxmlformats-officedocument.vmlDrawing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Default Extension="png" ContentType="image/png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embeddings/oleObject5.bin" ContentType="application/vnd.openxmlformats-officedocument.oleObject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drawings/drawing5.xml" ContentType="application/vnd.openxmlformats-officedocument.drawing+xml"/>
  <Override PartName="/xl/embeddings/oleObject3.bin" ContentType="application/vnd.openxmlformats-officedocument.oleObject"/>
  <Default Extension="emf" ContentType="image/x-emf"/>
  <Override PartName="/xl/drawings/drawing1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300" yWindow="-135" windowWidth="11595" windowHeight="12465" tabRatio="814" activeTab="4"/>
  </bookViews>
  <sheets>
    <sheet name="1.Stypendium" sheetId="1" r:id="rId1"/>
    <sheet name="2.Stypendium" sheetId="2" r:id="rId2"/>
    <sheet name="3.Oceny" sheetId="3" r:id="rId3"/>
    <sheet name="4.Bilet" sheetId="4" r:id="rId4"/>
    <sheet name="5.Kino" sheetId="5" r:id="rId5"/>
    <sheet name="6.Urodziny" sheetId="6" r:id="rId6"/>
    <sheet name="7.Aukcja" sheetId="7" r:id="rId7"/>
    <sheet name="8.Aukcja II" sheetId="8" r:id="rId8"/>
    <sheet name="9.Telefon" sheetId="9" r:id="rId9"/>
    <sheet name="10.Telefon II" sheetId="10" r:id="rId10"/>
    <sheet name="11.TIRy" sheetId="11" r:id="rId11"/>
    <sheet name="12.Miasta" sheetId="12" r:id="rId12"/>
    <sheet name="13.Dni tygodnia" sheetId="13" r:id="rId13"/>
    <sheet name="14.Loginy" sheetId="14" r:id="rId14"/>
    <sheet name="15.Mat" sheetId="15" r:id="rId15"/>
    <sheet name="16.Rok" sheetId="16" r:id="rId16"/>
    <sheet name="17.Miesiąc" sheetId="17" r:id="rId17"/>
    <sheet name="18.Słownie" sheetId="18" r:id="rId18"/>
    <sheet name="19.Rejestracja" sheetId="19" r:id="rId19"/>
    <sheet name="20.Języki" sheetId="20" r:id="rId20"/>
    <sheet name="21.Języki II" sheetId="21" r:id="rId21"/>
    <sheet name="22. Rachunki" sheetId="22" r:id="rId22"/>
    <sheet name="Arkusz1" sheetId="23" r:id="rId23"/>
  </sheets>
  <definedNames>
    <definedName name="Imiona" localSheetId="21">#REF!</definedName>
    <definedName name="Imiona">#REF!</definedName>
    <definedName name="Kwerenda1" localSheetId="21">#REF!</definedName>
    <definedName name="Kwerenda1">#REF!</definedName>
    <definedName name="OLE_LINK1" localSheetId="18">'19.Rejestracja'!$J$2</definedName>
    <definedName name="OLE_LINK1" localSheetId="19">'20.Języki'!$I$2</definedName>
    <definedName name="OLE_LINK1" localSheetId="20">'21.Języki II'!$H$2</definedName>
    <definedName name="Z_3DF5E802_5CA5_43EF_BE6A_D6FCDA5F65F2_.wvu.Cols" localSheetId="11" hidden="1">'12.Miasta'!$A:$A,'12.Miasta'!$L:$M</definedName>
    <definedName name="Z_3DF5E802_5CA5_43EF_BE6A_D6FCDA5F65F2_.wvu.Cols" localSheetId="12" hidden="1">'13.Dni tygodnia'!$A:$A,'13.Dni tygodnia'!$L:$M</definedName>
    <definedName name="Z_3DF5E802_5CA5_43EF_BE6A_D6FCDA5F65F2_.wvu.Cols" localSheetId="13" hidden="1">'14.Loginy'!$A:$A,'14.Loginy'!$M:$N</definedName>
    <definedName name="Z_3DF5E802_5CA5_43EF_BE6A_D6FCDA5F65F2_.wvu.Cols" localSheetId="15" hidden="1">'16.Rok'!$L:$M</definedName>
    <definedName name="Z_3DF5E802_5CA5_43EF_BE6A_D6FCDA5F65F2_.wvu.Cols" localSheetId="16" hidden="1">'17.Miesiąc'!$L:$M</definedName>
    <definedName name="Z_3DF5E802_5CA5_43EF_BE6A_D6FCDA5F65F2_.wvu.Cols" localSheetId="17" hidden="1">'18.Słownie'!$K:$L</definedName>
    <definedName name="Z_3DF5E802_5CA5_43EF_BE6A_D6FCDA5F65F2_.wvu.Cols" localSheetId="18" hidden="1">'19.Rejestracja'!$A:$B,'19.Rejestracja'!$I:$I</definedName>
    <definedName name="Z_3DF5E802_5CA5_43EF_BE6A_D6FCDA5F65F2_.wvu.Cols" localSheetId="19" hidden="1">'20.Języki'!$A:$A,'20.Języki'!$H:$H</definedName>
    <definedName name="Z_3DF5E802_5CA5_43EF_BE6A_D6FCDA5F65F2_.wvu.Cols" localSheetId="20" hidden="1">'21.Języki II'!$A:$A,'21.Języki II'!$G:$G</definedName>
    <definedName name="Z_3DF5E802_5CA5_43EF_BE6A_D6FCDA5F65F2_.wvu.Cols" localSheetId="8" hidden="1">'9.Telefon'!$C:$C</definedName>
    <definedName name="Z_F9B480CE_077C_416E_ACF9_56227F746F4A_.wvu.Cols" localSheetId="11" hidden="1">'12.Miasta'!$A:$A,'12.Miasta'!$L:$M</definedName>
    <definedName name="Z_F9B480CE_077C_416E_ACF9_56227F746F4A_.wvu.Cols" localSheetId="12" hidden="1">'13.Dni tygodnia'!$A:$A,'13.Dni tygodnia'!$L:$M</definedName>
    <definedName name="Z_F9B480CE_077C_416E_ACF9_56227F746F4A_.wvu.Cols" localSheetId="13" hidden="1">'14.Loginy'!$A:$A,'14.Loginy'!$M:$N</definedName>
    <definedName name="Z_F9B480CE_077C_416E_ACF9_56227F746F4A_.wvu.Cols" localSheetId="15" hidden="1">'16.Rok'!$L:$M</definedName>
    <definedName name="Z_F9B480CE_077C_416E_ACF9_56227F746F4A_.wvu.Cols" localSheetId="16" hidden="1">'17.Miesiąc'!$L:$M</definedName>
    <definedName name="Z_F9B480CE_077C_416E_ACF9_56227F746F4A_.wvu.Cols" localSheetId="17" hidden="1">'18.Słownie'!$K:$L</definedName>
    <definedName name="Z_F9B480CE_077C_416E_ACF9_56227F746F4A_.wvu.Cols" localSheetId="18" hidden="1">'19.Rejestracja'!$A:$B,'19.Rejestracja'!$I:$I</definedName>
    <definedName name="Z_F9B480CE_077C_416E_ACF9_56227F746F4A_.wvu.Cols" localSheetId="19" hidden="1">'20.Języki'!$A:$A,'20.Języki'!$H:$H</definedName>
    <definedName name="Z_F9B480CE_077C_416E_ACF9_56227F746F4A_.wvu.Cols" localSheetId="20" hidden="1">'21.Języki II'!$A:$A,'21.Języki II'!$G:$G</definedName>
    <definedName name="Z_F9B480CE_077C_416E_ACF9_56227F746F4A_.wvu.Cols" localSheetId="8" hidden="1">'9.Telefon'!$C:$C</definedName>
  </definedNames>
  <calcPr calcId="125725"/>
  <customWorkbookViews>
    <customWorkbookView name="jdworowski - Widok osobisty" guid="{F9B480CE-077C-416E-ACF9-56227F746F4A}" mergeInterval="0" personalView="1" maximized="1" xWindow="1" yWindow="1" windowWidth="1830" windowHeight="890" tabRatio="814" activeSheetId="1"/>
    <customWorkbookView name="bkaszubowska - Widok osobisty" guid="{3DF5E802-5CA5-43EF-BE6A-D6FCDA5F65F2}" mergeInterval="0" personalView="1" maximized="1" xWindow="1" yWindow="1" windowWidth="1916" windowHeight="861" tabRatio="814" activeSheetId="17"/>
  </customWorkbookViews>
</workbook>
</file>

<file path=xl/calcChain.xml><?xml version="1.0" encoding="utf-8"?>
<calcChain xmlns="http://schemas.openxmlformats.org/spreadsheetml/2006/main">
  <c r="C5" i="22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18" l="1"/>
  <c r="A4"/>
  <c r="A5"/>
  <c r="A6"/>
  <c r="A7"/>
  <c r="A8"/>
  <c r="A9"/>
  <c r="A10"/>
  <c r="A11"/>
  <c r="A12"/>
  <c r="A13"/>
  <c r="A14"/>
  <c r="A15"/>
  <c r="A16"/>
  <c r="A17"/>
  <c r="A18"/>
  <c r="A19"/>
  <c r="A20"/>
  <c r="A21"/>
  <c r="A2"/>
  <c r="A25" i="21"/>
  <c r="C25" s="1"/>
  <c r="A24"/>
  <c r="C24" s="1"/>
  <c r="A23"/>
  <c r="C23" s="1"/>
  <c r="A22"/>
  <c r="C22" s="1"/>
  <c r="A21"/>
  <c r="C21" s="1"/>
  <c r="A20"/>
  <c r="C20" s="1"/>
  <c r="A19"/>
  <c r="C19" s="1"/>
  <c r="A18"/>
  <c r="C18" s="1"/>
  <c r="A17"/>
  <c r="C17" s="1"/>
  <c r="A16"/>
  <c r="C16" s="1"/>
  <c r="A15"/>
  <c r="C15" s="1"/>
  <c r="A14"/>
  <c r="C14" s="1"/>
  <c r="A13"/>
  <c r="C13" s="1"/>
  <c r="A12"/>
  <c r="C12" s="1"/>
  <c r="A11"/>
  <c r="C11" s="1"/>
  <c r="A10"/>
  <c r="C10" s="1"/>
  <c r="A9"/>
  <c r="C9" s="1"/>
  <c r="A8"/>
  <c r="C8" s="1"/>
  <c r="A7"/>
  <c r="C7" s="1"/>
  <c r="A6"/>
  <c r="C6" s="1"/>
  <c r="A5"/>
  <c r="C5" s="1"/>
  <c r="A4"/>
  <c r="C4" s="1"/>
  <c r="A3"/>
  <c r="C3" s="1"/>
  <c r="A2"/>
  <c r="C2" s="1"/>
  <c r="A21" i="17"/>
  <c r="B21" s="1"/>
  <c r="A20"/>
  <c r="B20" s="1"/>
  <c r="A19"/>
  <c r="B19" s="1"/>
  <c r="A18"/>
  <c r="B18" s="1"/>
  <c r="A17"/>
  <c r="B17" s="1"/>
  <c r="A16"/>
  <c r="B16" s="1"/>
  <c r="A15"/>
  <c r="B15" s="1"/>
  <c r="A14"/>
  <c r="B14" s="1"/>
  <c r="A13"/>
  <c r="B13" s="1"/>
  <c r="A12"/>
  <c r="B12" s="1"/>
  <c r="A11"/>
  <c r="B11" s="1"/>
  <c r="A10"/>
  <c r="B10" s="1"/>
  <c r="A9"/>
  <c r="B9" s="1"/>
  <c r="A8"/>
  <c r="B8" s="1"/>
  <c r="A7"/>
  <c r="B7" s="1"/>
  <c r="A6"/>
  <c r="B6" s="1"/>
  <c r="A5"/>
  <c r="B5" s="1"/>
  <c r="A4"/>
  <c r="B4" s="1"/>
  <c r="A3"/>
  <c r="B3" s="1"/>
  <c r="A2"/>
  <c r="B2" s="1"/>
  <c r="A3" i="16"/>
  <c r="B3" s="1"/>
  <c r="A4"/>
  <c r="B4" s="1"/>
  <c r="A5"/>
  <c r="B5" s="1"/>
  <c r="A6"/>
  <c r="B6" s="1"/>
  <c r="A7"/>
  <c r="B7" s="1"/>
  <c r="A8"/>
  <c r="B8" s="1"/>
  <c r="A9"/>
  <c r="B9" s="1"/>
  <c r="A10"/>
  <c r="B10" s="1"/>
  <c r="A11"/>
  <c r="B11" s="1"/>
  <c r="A12"/>
  <c r="B12" s="1"/>
  <c r="A13"/>
  <c r="B13" s="1"/>
  <c r="A14"/>
  <c r="B14" s="1"/>
  <c r="A15"/>
  <c r="B15" s="1"/>
  <c r="A16"/>
  <c r="B16" s="1"/>
  <c r="A17"/>
  <c r="B17" s="1"/>
  <c r="A18"/>
  <c r="B18" s="1"/>
  <c r="A19"/>
  <c r="B19" s="1"/>
  <c r="A20"/>
  <c r="B20" s="1"/>
  <c r="A21"/>
  <c r="B21" s="1"/>
  <c r="A2"/>
  <c r="B2" s="1"/>
  <c r="G51" i="15"/>
  <c r="G40"/>
  <c r="G27"/>
  <c r="B3" i="14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I26" i="8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26" i="7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C5" i="6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A2" i="5"/>
  <c r="B12" i="4"/>
  <c r="B13"/>
  <c r="B14"/>
  <c r="B15"/>
  <c r="B5" i="3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2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1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20"/>
  <c r="C3" s="1"/>
  <c r="A4"/>
  <c r="C4" s="1"/>
  <c r="A5"/>
  <c r="C5" s="1"/>
  <c r="A6"/>
  <c r="C6" s="1"/>
  <c r="A7"/>
  <c r="C7" s="1"/>
  <c r="A8"/>
  <c r="C8" s="1"/>
  <c r="A9"/>
  <c r="C9" s="1"/>
  <c r="A10"/>
  <c r="C10" s="1"/>
  <c r="A11"/>
  <c r="C11" s="1"/>
  <c r="A12"/>
  <c r="C12" s="1"/>
  <c r="A13"/>
  <c r="C13" s="1"/>
  <c r="A14"/>
  <c r="C14" s="1"/>
  <c r="A15"/>
  <c r="C15" s="1"/>
  <c r="A16"/>
  <c r="C16" s="1"/>
  <c r="A17"/>
  <c r="C17" s="1"/>
  <c r="A18"/>
  <c r="C18" s="1"/>
  <c r="A19"/>
  <c r="C19" s="1"/>
  <c r="A20"/>
  <c r="C20" s="1"/>
  <c r="A21"/>
  <c r="C21" s="1"/>
  <c r="A22"/>
  <c r="C22" s="1"/>
  <c r="A23"/>
  <c r="C23" s="1"/>
  <c r="A24"/>
  <c r="C24" s="1"/>
  <c r="A25"/>
  <c r="C25" s="1"/>
  <c r="A2"/>
  <c r="C2" s="1"/>
  <c r="B3" i="19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A3"/>
  <c r="C3" s="1"/>
  <c r="D3" s="1"/>
  <c r="A4"/>
  <c r="C4" s="1"/>
  <c r="D4" s="1"/>
  <c r="A5"/>
  <c r="C5" s="1"/>
  <c r="D5" s="1"/>
  <c r="A6"/>
  <c r="C6" s="1"/>
  <c r="D6" s="1"/>
  <c r="A7"/>
  <c r="C7" s="1"/>
  <c r="D7" s="1"/>
  <c r="A8"/>
  <c r="C8" s="1"/>
  <c r="D8" s="1"/>
  <c r="A9"/>
  <c r="C9" s="1"/>
  <c r="D9" s="1"/>
  <c r="A10"/>
  <c r="A11"/>
  <c r="C11" s="1"/>
  <c r="D11" s="1"/>
  <c r="A12"/>
  <c r="C12" s="1"/>
  <c r="D12" s="1"/>
  <c r="A13"/>
  <c r="C13" s="1"/>
  <c r="D13" s="1"/>
  <c r="A14"/>
  <c r="C14" s="1"/>
  <c r="D14" s="1"/>
  <c r="A15"/>
  <c r="C15" s="1"/>
  <c r="D15" s="1"/>
  <c r="A16"/>
  <c r="C16" s="1"/>
  <c r="D16" s="1"/>
  <c r="A17"/>
  <c r="C17" s="1"/>
  <c r="D17" s="1"/>
  <c r="A18"/>
  <c r="C18" s="1"/>
  <c r="D18" s="1"/>
  <c r="A19"/>
  <c r="C19" s="1"/>
  <c r="D19" s="1"/>
  <c r="A20"/>
  <c r="C20" s="1"/>
  <c r="D20" s="1"/>
  <c r="A21"/>
  <c r="C21" s="1"/>
  <c r="D21" s="1"/>
  <c r="A2"/>
  <c r="C2" s="1"/>
  <c r="D2" s="1"/>
  <c r="G16" i="15"/>
  <c r="G3"/>
  <c r="A2" i="14"/>
  <c r="A3" s="1"/>
  <c r="A2" i="13"/>
  <c r="A3" s="1"/>
  <c r="A2" i="12"/>
  <c r="A3" s="1"/>
  <c r="B3" s="1"/>
  <c r="C10" i="19" l="1"/>
  <c r="D10" s="1"/>
  <c r="B29" i="3"/>
  <c r="D29" i="1"/>
  <c r="D29" i="2"/>
  <c r="B29"/>
  <c r="B29" i="1"/>
  <c r="A4" i="14"/>
  <c r="C3"/>
  <c r="C2"/>
  <c r="A4" i="13"/>
  <c r="B3"/>
  <c r="B2"/>
  <c r="A4" i="12"/>
  <c r="B2"/>
  <c r="B3" i="10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51"/>
  <c r="C51"/>
  <c r="D50"/>
  <c r="C50"/>
  <c r="D49"/>
  <c r="C49"/>
  <c r="D48"/>
  <c r="C48"/>
  <c r="D47"/>
  <c r="C47"/>
  <c r="D46"/>
  <c r="C46"/>
  <c r="D45"/>
  <c r="C45"/>
  <c r="D44"/>
  <c r="C44"/>
  <c r="D43"/>
  <c r="C43"/>
  <c r="D42"/>
  <c r="C42"/>
  <c r="D41"/>
  <c r="C41"/>
  <c r="D40"/>
  <c r="C40"/>
  <c r="D39"/>
  <c r="C39"/>
  <c r="D38"/>
  <c r="C38"/>
  <c r="D37"/>
  <c r="C37"/>
  <c r="D36"/>
  <c r="C36"/>
  <c r="D35"/>
  <c r="C35"/>
  <c r="D34"/>
  <c r="C34"/>
  <c r="D33"/>
  <c r="C33"/>
  <c r="D32"/>
  <c r="C32"/>
  <c r="D31"/>
  <c r="C31"/>
  <c r="D30"/>
  <c r="C30"/>
  <c r="D29"/>
  <c r="C29"/>
  <c r="D28"/>
  <c r="C28"/>
  <c r="D27"/>
  <c r="C27"/>
  <c r="D26"/>
  <c r="C26"/>
  <c r="D25"/>
  <c r="C25"/>
  <c r="D24"/>
  <c r="C24"/>
  <c r="D23"/>
  <c r="C23"/>
  <c r="D22"/>
  <c r="C22"/>
  <c r="D21"/>
  <c r="C21"/>
  <c r="D20"/>
  <c r="C20"/>
  <c r="D19"/>
  <c r="C19"/>
  <c r="D18"/>
  <c r="C18"/>
  <c r="D17"/>
  <c r="C17"/>
  <c r="D16"/>
  <c r="C16"/>
  <c r="D15"/>
  <c r="C15"/>
  <c r="D14"/>
  <c r="C14"/>
  <c r="D13"/>
  <c r="C13"/>
  <c r="D12"/>
  <c r="C12"/>
  <c r="D11"/>
  <c r="C11"/>
  <c r="D10"/>
  <c r="C10"/>
  <c r="D9"/>
  <c r="C9"/>
  <c r="D8"/>
  <c r="C8"/>
  <c r="D7"/>
  <c r="C7"/>
  <c r="D6"/>
  <c r="C6"/>
  <c r="D5"/>
  <c r="C5"/>
  <c r="D4"/>
  <c r="C4"/>
  <c r="D3"/>
  <c r="C3"/>
  <c r="D2"/>
  <c r="C2"/>
  <c r="E3" i="9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2"/>
  <c r="B28"/>
  <c r="C28"/>
  <c r="D28" s="1"/>
  <c r="B29"/>
  <c r="C29"/>
  <c r="D29" s="1"/>
  <c r="B30"/>
  <c r="C30"/>
  <c r="D30" s="1"/>
  <c r="B31"/>
  <c r="C31"/>
  <c r="D31" s="1"/>
  <c r="B32"/>
  <c r="C32"/>
  <c r="D32" s="1"/>
  <c r="B33"/>
  <c r="C33"/>
  <c r="D33" s="1"/>
  <c r="B34"/>
  <c r="C34"/>
  <c r="D34" s="1"/>
  <c r="B35"/>
  <c r="C35"/>
  <c r="D35" s="1"/>
  <c r="B36"/>
  <c r="C36"/>
  <c r="D36" s="1"/>
  <c r="B37"/>
  <c r="C37"/>
  <c r="D37" s="1"/>
  <c r="B38"/>
  <c r="C38"/>
  <c r="D38" s="1"/>
  <c r="B39"/>
  <c r="C39"/>
  <c r="D39" s="1"/>
  <c r="B40"/>
  <c r="C40"/>
  <c r="D40" s="1"/>
  <c r="B41"/>
  <c r="C41"/>
  <c r="D41" s="1"/>
  <c r="B42"/>
  <c r="C42"/>
  <c r="D42" s="1"/>
  <c r="B43"/>
  <c r="C43"/>
  <c r="D43" s="1"/>
  <c r="B44"/>
  <c r="C44"/>
  <c r="D44" s="1"/>
  <c r="B45"/>
  <c r="C45"/>
  <c r="D45" s="1"/>
  <c r="B46"/>
  <c r="C46"/>
  <c r="D46" s="1"/>
  <c r="B47"/>
  <c r="C47"/>
  <c r="D47" s="1"/>
  <c r="B48"/>
  <c r="C48"/>
  <c r="D48" s="1"/>
  <c r="B49"/>
  <c r="C49"/>
  <c r="D49" s="1"/>
  <c r="B50"/>
  <c r="C50"/>
  <c r="D50" s="1"/>
  <c r="B51"/>
  <c r="C51"/>
  <c r="D51" s="1"/>
  <c r="B2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"/>
  <c r="C27"/>
  <c r="D27" s="1"/>
  <c r="C3"/>
  <c r="D3" s="1"/>
  <c r="C4"/>
  <c r="D4" s="1"/>
  <c r="C5"/>
  <c r="D5" s="1"/>
  <c r="C6"/>
  <c r="D6" s="1"/>
  <c r="C7"/>
  <c r="D7" s="1"/>
  <c r="C8"/>
  <c r="D8" s="1"/>
  <c r="C9"/>
  <c r="D9" s="1"/>
  <c r="C10"/>
  <c r="D10" s="1"/>
  <c r="C11"/>
  <c r="D11" s="1"/>
  <c r="C12"/>
  <c r="D12" s="1"/>
  <c r="C13"/>
  <c r="D13" s="1"/>
  <c r="C14"/>
  <c r="D14" s="1"/>
  <c r="C15"/>
  <c r="D15" s="1"/>
  <c r="C16"/>
  <c r="D16" s="1"/>
  <c r="C17"/>
  <c r="D17" s="1"/>
  <c r="C18"/>
  <c r="D18" s="1"/>
  <c r="C19"/>
  <c r="D19" s="1"/>
  <c r="C20"/>
  <c r="D20" s="1"/>
  <c r="C21"/>
  <c r="D21" s="1"/>
  <c r="C22"/>
  <c r="D22" s="1"/>
  <c r="C23"/>
  <c r="D23" s="1"/>
  <c r="C24"/>
  <c r="D24" s="1"/>
  <c r="C25"/>
  <c r="D25" s="1"/>
  <c r="C26"/>
  <c r="D26" s="1"/>
  <c r="C2"/>
  <c r="D2" s="1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26" i="8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E26" i="7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B1" i="6"/>
  <c r="F21" i="1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20"/>
  <c r="E43"/>
  <c r="E41"/>
  <c r="E39"/>
  <c r="E37"/>
  <c r="E35"/>
  <c r="E33"/>
  <c r="E31"/>
  <c r="E29"/>
  <c r="E27"/>
  <c r="E25"/>
  <c r="E23"/>
  <c r="E21"/>
  <c r="H6"/>
  <c r="B11" i="5"/>
  <c r="C11" s="1"/>
  <c r="B12"/>
  <c r="C12" s="1"/>
  <c r="B13"/>
  <c r="C13" s="1"/>
  <c r="B14"/>
  <c r="C14" s="1"/>
  <c r="B15"/>
  <c r="C15" s="1"/>
  <c r="B16"/>
  <c r="C16" s="1"/>
  <c r="B17"/>
  <c r="C17" s="1"/>
  <c r="B18"/>
  <c r="C18" s="1"/>
  <c r="B19"/>
  <c r="C19" s="1"/>
  <c r="B20"/>
  <c r="C20" s="1"/>
  <c r="B21"/>
  <c r="C21" s="1"/>
  <c r="B22"/>
  <c r="C22" s="1"/>
  <c r="B23"/>
  <c r="C23" s="1"/>
  <c r="B24"/>
  <c r="C24" s="1"/>
  <c r="B25"/>
  <c r="C25" s="1"/>
  <c r="B26"/>
  <c r="C26" s="1"/>
  <c r="B27"/>
  <c r="C27" s="1"/>
  <c r="B28"/>
  <c r="C28" s="1"/>
  <c r="B29"/>
  <c r="C29" s="1"/>
  <c r="B30"/>
  <c r="C30" s="1"/>
  <c r="B31"/>
  <c r="C31" s="1"/>
  <c r="B32"/>
  <c r="C32" s="1"/>
  <c r="B33"/>
  <c r="C33" s="1"/>
  <c r="B34"/>
  <c r="C34" s="1"/>
  <c r="B35"/>
  <c r="C35" s="1"/>
  <c r="B36"/>
  <c r="C36" s="1"/>
  <c r="B37"/>
  <c r="C37" s="1"/>
  <c r="B38"/>
  <c r="C38" s="1"/>
  <c r="B39"/>
  <c r="C39" s="1"/>
  <c r="B40"/>
  <c r="C40" s="1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83"/>
  <c r="C83" s="1"/>
  <c r="B84"/>
  <c r="C84" s="1"/>
  <c r="B85"/>
  <c r="C85" s="1"/>
  <c r="B86"/>
  <c r="C86" s="1"/>
  <c r="B87"/>
  <c r="C87" s="1"/>
  <c r="B88"/>
  <c r="C88" s="1"/>
  <c r="B89"/>
  <c r="C89" s="1"/>
  <c r="B90"/>
  <c r="C90" s="1"/>
  <c r="B91"/>
  <c r="C91" s="1"/>
  <c r="B92"/>
  <c r="C92" s="1"/>
  <c r="B93"/>
  <c r="C93" s="1"/>
  <c r="B94"/>
  <c r="C94" s="1"/>
  <c r="B95"/>
  <c r="C95" s="1"/>
  <c r="B96"/>
  <c r="C96" s="1"/>
  <c r="B97"/>
  <c r="C97" s="1"/>
  <c r="B98"/>
  <c r="C98" s="1"/>
  <c r="B99"/>
  <c r="C99" s="1"/>
  <c r="B100"/>
  <c r="C100" s="1"/>
  <c r="B101"/>
  <c r="C101" s="1"/>
  <c r="B102"/>
  <c r="C102" s="1"/>
  <c r="B103"/>
  <c r="C103" s="1"/>
  <c r="B104"/>
  <c r="C104" s="1"/>
  <c r="B105"/>
  <c r="C105" s="1"/>
  <c r="B106"/>
  <c r="C106" s="1"/>
  <c r="B107"/>
  <c r="C107" s="1"/>
  <c r="B108"/>
  <c r="C108" s="1"/>
  <c r="B109"/>
  <c r="C109" s="1"/>
  <c r="B110"/>
  <c r="C110" s="1"/>
  <c r="B111"/>
  <c r="C111" s="1"/>
  <c r="B112"/>
  <c r="C112" s="1"/>
  <c r="B113"/>
  <c r="C113" s="1"/>
  <c r="B114"/>
  <c r="C114" s="1"/>
  <c r="B115"/>
  <c r="C115" s="1"/>
  <c r="B116"/>
  <c r="C116" s="1"/>
  <c r="B117"/>
  <c r="C117" s="1"/>
  <c r="B118"/>
  <c r="C118" s="1"/>
  <c r="B119"/>
  <c r="C119" s="1"/>
  <c r="B120"/>
  <c r="C120" s="1"/>
  <c r="B121"/>
  <c r="C121" s="1"/>
  <c r="B122"/>
  <c r="C122" s="1"/>
  <c r="B123"/>
  <c r="C123" s="1"/>
  <c r="B124"/>
  <c r="C124" s="1"/>
  <c r="B125"/>
  <c r="C125" s="1"/>
  <c r="B126"/>
  <c r="C126" s="1"/>
  <c r="B127"/>
  <c r="C127" s="1"/>
  <c r="B128"/>
  <c r="C128" s="1"/>
  <c r="B129"/>
  <c r="C129" s="1"/>
  <c r="B130"/>
  <c r="C130" s="1"/>
  <c r="B131"/>
  <c r="C131" s="1"/>
  <c r="B132"/>
  <c r="C132" s="1"/>
  <c r="B133"/>
  <c r="C133" s="1"/>
  <c r="B134"/>
  <c r="C134" s="1"/>
  <c r="B135"/>
  <c r="C135" s="1"/>
  <c r="B136"/>
  <c r="C136" s="1"/>
  <c r="B137"/>
  <c r="C137" s="1"/>
  <c r="B138"/>
  <c r="C138" s="1"/>
  <c r="B139"/>
  <c r="C139" s="1"/>
  <c r="B140"/>
  <c r="C140" s="1"/>
  <c r="B141"/>
  <c r="C141" s="1"/>
  <c r="B142"/>
  <c r="C142" s="1"/>
  <c r="B143"/>
  <c r="C143" s="1"/>
  <c r="B144"/>
  <c r="C144" s="1"/>
  <c r="B145"/>
  <c r="C145" s="1"/>
  <c r="B146"/>
  <c r="C146" s="1"/>
  <c r="B147"/>
  <c r="C147" s="1"/>
  <c r="B148"/>
  <c r="C148" s="1"/>
  <c r="B149"/>
  <c r="C149" s="1"/>
  <c r="B150"/>
  <c r="C150" s="1"/>
  <c r="B151"/>
  <c r="C151" s="1"/>
  <c r="B152"/>
  <c r="C152" s="1"/>
  <c r="B153"/>
  <c r="C153" s="1"/>
  <c r="B154"/>
  <c r="C154" s="1"/>
  <c r="B155"/>
  <c r="C155" s="1"/>
  <c r="B156"/>
  <c r="C156" s="1"/>
  <c r="B157"/>
  <c r="C157" s="1"/>
  <c r="B158"/>
  <c r="C158" s="1"/>
  <c r="B159"/>
  <c r="C159" s="1"/>
  <c r="B160"/>
  <c r="C160" s="1"/>
  <c r="B161"/>
  <c r="C161" s="1"/>
  <c r="B162"/>
  <c r="C162" s="1"/>
  <c r="B163"/>
  <c r="C163" s="1"/>
  <c r="B164"/>
  <c r="C164" s="1"/>
  <c r="B165"/>
  <c r="C165" s="1"/>
  <c r="B166"/>
  <c r="C166" s="1"/>
  <c r="B167"/>
  <c r="C167" s="1"/>
  <c r="B168"/>
  <c r="C168" s="1"/>
  <c r="B169"/>
  <c r="C169" s="1"/>
  <c r="B170"/>
  <c r="C170" s="1"/>
  <c r="B171"/>
  <c r="C171" s="1"/>
  <c r="B172"/>
  <c r="C172" s="1"/>
  <c r="B173"/>
  <c r="C173" s="1"/>
  <c r="B174"/>
  <c r="C174" s="1"/>
  <c r="B175"/>
  <c r="C175" s="1"/>
  <c r="B176"/>
  <c r="C176" s="1"/>
  <c r="B177"/>
  <c r="C177" s="1"/>
  <c r="B178"/>
  <c r="C178" s="1"/>
  <c r="B179"/>
  <c r="C179" s="1"/>
  <c r="B180"/>
  <c r="C180" s="1"/>
  <c r="B181"/>
  <c r="C181" s="1"/>
  <c r="B182"/>
  <c r="C182" s="1"/>
  <c r="B183"/>
  <c r="C183" s="1"/>
  <c r="B184"/>
  <c r="C184" s="1"/>
  <c r="B185"/>
  <c r="C185" s="1"/>
  <c r="B186"/>
  <c r="C186" s="1"/>
  <c r="B187"/>
  <c r="C187" s="1"/>
  <c r="B188"/>
  <c r="C188" s="1"/>
  <c r="B189"/>
  <c r="C189" s="1"/>
  <c r="B190"/>
  <c r="C190" s="1"/>
  <c r="B191"/>
  <c r="C191" s="1"/>
  <c r="B192"/>
  <c r="C192" s="1"/>
  <c r="B193"/>
  <c r="C193" s="1"/>
  <c r="B194"/>
  <c r="C194" s="1"/>
  <c r="B195"/>
  <c r="C195" s="1"/>
  <c r="B196"/>
  <c r="C196" s="1"/>
  <c r="B197"/>
  <c r="C197" s="1"/>
  <c r="B198"/>
  <c r="C198" s="1"/>
  <c r="B199"/>
  <c r="C199" s="1"/>
  <c r="B200"/>
  <c r="C200" s="1"/>
  <c r="B10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B11" i="4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10"/>
  <c r="B2"/>
  <c r="C13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H32" i="5" l="1"/>
  <c r="C10"/>
  <c r="C200" i="4"/>
  <c r="C196"/>
  <c r="C192"/>
  <c r="C198"/>
  <c r="C199"/>
  <c r="C195"/>
  <c r="C191"/>
  <c r="C187"/>
  <c r="C183"/>
  <c r="C184"/>
  <c r="C180"/>
  <c r="C188"/>
  <c r="C197"/>
  <c r="C193"/>
  <c r="C189"/>
  <c r="C185"/>
  <c r="C181"/>
  <c r="C194"/>
  <c r="C190"/>
  <c r="C186"/>
  <c r="C182"/>
  <c r="C178"/>
  <c r="C170"/>
  <c r="C166"/>
  <c r="C158"/>
  <c r="C150"/>
  <c r="C142"/>
  <c r="C179"/>
  <c r="C175"/>
  <c r="C171"/>
  <c r="C167"/>
  <c r="C163"/>
  <c r="C159"/>
  <c r="C155"/>
  <c r="C151"/>
  <c r="C147"/>
  <c r="C143"/>
  <c r="C176"/>
  <c r="C164"/>
  <c r="C156"/>
  <c r="C144"/>
  <c r="C172"/>
  <c r="C168"/>
  <c r="C160"/>
  <c r="C152"/>
  <c r="C148"/>
  <c r="C177"/>
  <c r="C173"/>
  <c r="C169"/>
  <c r="C165"/>
  <c r="C161"/>
  <c r="C157"/>
  <c r="C153"/>
  <c r="C149"/>
  <c r="C145"/>
  <c r="C141"/>
  <c r="C174"/>
  <c r="C162"/>
  <c r="C154"/>
  <c r="C146"/>
  <c r="C139"/>
  <c r="C135"/>
  <c r="C131"/>
  <c r="C127"/>
  <c r="C123"/>
  <c r="C119"/>
  <c r="C115"/>
  <c r="C111"/>
  <c r="C107"/>
  <c r="C103"/>
  <c r="C99"/>
  <c r="C95"/>
  <c r="C91"/>
  <c r="C87"/>
  <c r="C83"/>
  <c r="C140"/>
  <c r="C136"/>
  <c r="C132"/>
  <c r="C128"/>
  <c r="C124"/>
  <c r="C120"/>
  <c r="C116"/>
  <c r="C112"/>
  <c r="C108"/>
  <c r="C104"/>
  <c r="C100"/>
  <c r="C96"/>
  <c r="C137"/>
  <c r="C133"/>
  <c r="C129"/>
  <c r="C125"/>
  <c r="C121"/>
  <c r="C117"/>
  <c r="C113"/>
  <c r="C109"/>
  <c r="C105"/>
  <c r="C101"/>
  <c r="C97"/>
  <c r="C138"/>
  <c r="C134"/>
  <c r="C130"/>
  <c r="C126"/>
  <c r="C122"/>
  <c r="C118"/>
  <c r="C114"/>
  <c r="C110"/>
  <c r="C106"/>
  <c r="C102"/>
  <c r="C98"/>
  <c r="C79"/>
  <c r="C75"/>
  <c r="C71"/>
  <c r="C67"/>
  <c r="C63"/>
  <c r="C59"/>
  <c r="C55"/>
  <c r="C88"/>
  <c r="C80"/>
  <c r="C72"/>
  <c r="C64"/>
  <c r="C52"/>
  <c r="C92"/>
  <c r="C84"/>
  <c r="C76"/>
  <c r="C68"/>
  <c r="C60"/>
  <c r="C56"/>
  <c r="C93"/>
  <c r="C89"/>
  <c r="C85"/>
  <c r="C81"/>
  <c r="C77"/>
  <c r="C73"/>
  <c r="C69"/>
  <c r="C65"/>
  <c r="C61"/>
  <c r="C57"/>
  <c r="C53"/>
  <c r="C94"/>
  <c r="C90"/>
  <c r="C86"/>
  <c r="C82"/>
  <c r="C78"/>
  <c r="C74"/>
  <c r="C70"/>
  <c r="C66"/>
  <c r="C62"/>
  <c r="C58"/>
  <c r="C54"/>
  <c r="C51"/>
  <c r="C47"/>
  <c r="C43"/>
  <c r="C39"/>
  <c r="C35"/>
  <c r="C31"/>
  <c r="C27"/>
  <c r="C23"/>
  <c r="C19"/>
  <c r="C11"/>
  <c r="C48"/>
  <c r="C44"/>
  <c r="C40"/>
  <c r="C36"/>
  <c r="C32"/>
  <c r="C49"/>
  <c r="C45"/>
  <c r="C41"/>
  <c r="C37"/>
  <c r="C50"/>
  <c r="C46"/>
  <c r="C42"/>
  <c r="C38"/>
  <c r="C34"/>
  <c r="C14"/>
  <c r="C28"/>
  <c r="C24"/>
  <c r="C20"/>
  <c r="C16"/>
  <c r="C15"/>
  <c r="C33"/>
  <c r="C29"/>
  <c r="C25"/>
  <c r="C21"/>
  <c r="C17"/>
  <c r="C12"/>
  <c r="C30"/>
  <c r="C26"/>
  <c r="C22"/>
  <c r="C18"/>
  <c r="C10"/>
  <c r="A5" i="14"/>
  <c r="C4"/>
  <c r="A5" i="13"/>
  <c r="B4"/>
  <c r="A5" i="12"/>
  <c r="B4"/>
  <c r="A6" i="14" l="1"/>
  <c r="C5"/>
  <c r="A6" i="13"/>
  <c r="B5"/>
  <c r="A6" i="12"/>
  <c r="B5"/>
  <c r="A7" i="14" l="1"/>
  <c r="C6"/>
  <c r="A7" i="13"/>
  <c r="B6"/>
  <c r="A7" i="12"/>
  <c r="B6"/>
  <c r="A8" i="14" l="1"/>
  <c r="C7"/>
  <c r="A8" i="13"/>
  <c r="B7"/>
  <c r="A8" i="12"/>
  <c r="B7"/>
  <c r="A9" i="14" l="1"/>
  <c r="C8"/>
  <c r="A9" i="13"/>
  <c r="B8"/>
  <c r="A9" i="12"/>
  <c r="B8"/>
  <c r="A10" i="14" l="1"/>
  <c r="C9"/>
  <c r="A10" i="13"/>
  <c r="B9"/>
  <c r="A10" i="12"/>
  <c r="B9"/>
  <c r="A11" i="14" l="1"/>
  <c r="C10"/>
  <c r="A11" i="13"/>
  <c r="B10"/>
  <c r="A11" i="12"/>
  <c r="B10"/>
  <c r="A12" i="14" l="1"/>
  <c r="C11"/>
  <c r="A12" i="13"/>
  <c r="B11"/>
  <c r="A12" i="12"/>
  <c r="B11"/>
  <c r="A13" i="14" l="1"/>
  <c r="C12"/>
  <c r="A13" i="13"/>
  <c r="B12"/>
  <c r="A13" i="12"/>
  <c r="B12"/>
  <c r="A14" i="14" l="1"/>
  <c r="C13"/>
  <c r="A14" i="13"/>
  <c r="B13"/>
  <c r="A14" i="12"/>
  <c r="B13"/>
  <c r="A15" i="14" l="1"/>
  <c r="C14"/>
  <c r="A15" i="13"/>
  <c r="B14"/>
  <c r="A15" i="12"/>
  <c r="B14"/>
  <c r="A16" i="14" l="1"/>
  <c r="C15"/>
  <c r="A16" i="13"/>
  <c r="B15"/>
  <c r="A16" i="12"/>
  <c r="B15"/>
  <c r="A17" i="14" l="1"/>
  <c r="C16"/>
  <c r="A17" i="13"/>
  <c r="B16"/>
  <c r="A17" i="12"/>
  <c r="B16"/>
  <c r="A18" i="14" l="1"/>
  <c r="C17"/>
  <c r="A18" i="13"/>
  <c r="B17"/>
  <c r="A18" i="12"/>
  <c r="B17"/>
  <c r="A19" i="14" l="1"/>
  <c r="C18"/>
  <c r="A19" i="13"/>
  <c r="B18"/>
  <c r="A19" i="12"/>
  <c r="B18"/>
  <c r="A20" i="14" l="1"/>
  <c r="C19"/>
  <c r="A20" i="13"/>
  <c r="B19"/>
  <c r="A20" i="12"/>
  <c r="B19"/>
  <c r="A21" i="14" l="1"/>
  <c r="C21" s="1"/>
  <c r="C20"/>
  <c r="A21" i="13"/>
  <c r="B21" s="1"/>
  <c r="B20"/>
  <c r="A21" i="12"/>
  <c r="B21" s="1"/>
  <c r="B20"/>
</calcChain>
</file>

<file path=xl/sharedStrings.xml><?xml version="1.0" encoding="utf-8"?>
<sst xmlns="http://schemas.openxmlformats.org/spreadsheetml/2006/main" count="884" uniqueCount="281">
  <si>
    <t>Imię</t>
  </si>
  <si>
    <t>Anna</t>
  </si>
  <si>
    <t>Monika</t>
  </si>
  <si>
    <t>Jarosław</t>
  </si>
  <si>
    <t>Andrzej</t>
  </si>
  <si>
    <t>Maciej</t>
  </si>
  <si>
    <t>Katarzyna</t>
  </si>
  <si>
    <t>Justyna</t>
  </si>
  <si>
    <t>Maria</t>
  </si>
  <si>
    <t>Średnia</t>
  </si>
  <si>
    <t>Cena za 1km</t>
  </si>
  <si>
    <t>Kwota</t>
  </si>
  <si>
    <t>Długość trasy</t>
  </si>
  <si>
    <t>km</t>
  </si>
  <si>
    <t>NIP firmy</t>
  </si>
  <si>
    <t>Łączna trasa</t>
  </si>
  <si>
    <t>Użytkownik</t>
  </si>
  <si>
    <t>Cena</t>
  </si>
  <si>
    <t>Liczba sztuk</t>
  </si>
  <si>
    <t>Data</t>
  </si>
  <si>
    <t>nie</t>
  </si>
  <si>
    <t>lis</t>
  </si>
  <si>
    <t>CET</t>
  </si>
  <si>
    <t>pon</t>
  </si>
  <si>
    <t>wto</t>
  </si>
  <si>
    <t>śro</t>
  </si>
  <si>
    <t>czw</t>
  </si>
  <si>
    <t>pią</t>
  </si>
  <si>
    <t>sob</t>
  </si>
  <si>
    <t>(70)</t>
  </si>
  <si>
    <t>(153)</t>
  </si>
  <si>
    <t>(123)</t>
  </si>
  <si>
    <t>(81)</t>
  </si>
  <si>
    <t>(184)</t>
  </si>
  <si>
    <t>(27)</t>
  </si>
  <si>
    <t>(61)</t>
  </si>
  <si>
    <t>(79)</t>
  </si>
  <si>
    <t>(126)</t>
  </si>
  <si>
    <t>(2)</t>
  </si>
  <si>
    <t>(48)</t>
  </si>
  <si>
    <t>(175)</t>
  </si>
  <si>
    <t>(28)</t>
  </si>
  <si>
    <t>(72)</t>
  </si>
  <si>
    <t>(7)</t>
  </si>
  <si>
    <t>(10)</t>
  </si>
  <si>
    <t>(42)</t>
  </si>
  <si>
    <t>(78)</t>
  </si>
  <si>
    <t>(122)</t>
  </si>
  <si>
    <t>(261)</t>
  </si>
  <si>
    <t>(22)</t>
  </si>
  <si>
    <t>(0)</t>
  </si>
  <si>
    <t>(38)</t>
  </si>
  <si>
    <t>(139)</t>
  </si>
  <si>
    <t>Uczeń:</t>
  </si>
  <si>
    <t>Abacki</t>
  </si>
  <si>
    <t>Babacki</t>
  </si>
  <si>
    <t>Cabacki</t>
  </si>
  <si>
    <t>Dabacki</t>
  </si>
  <si>
    <t>Ebacki</t>
  </si>
  <si>
    <t>Fabacki</t>
  </si>
  <si>
    <t>Gabacki</t>
  </si>
  <si>
    <t>Habacki</t>
  </si>
  <si>
    <t>Ibacki</t>
  </si>
  <si>
    <t>Jabacki</t>
  </si>
  <si>
    <t>Kabacki</t>
  </si>
  <si>
    <t>B</t>
  </si>
  <si>
    <t>C</t>
  </si>
  <si>
    <t>D</t>
  </si>
  <si>
    <t>Rok</t>
  </si>
  <si>
    <t>Miasto</t>
  </si>
  <si>
    <t>Skrót</t>
  </si>
  <si>
    <t>Łódź</t>
  </si>
  <si>
    <t>Warszawa</t>
  </si>
  <si>
    <t>Poznań</t>
  </si>
  <si>
    <t>Kraków</t>
  </si>
  <si>
    <t>Szczecin</t>
  </si>
  <si>
    <t>Gdańsk</t>
  </si>
  <si>
    <t>poniedziałek</t>
  </si>
  <si>
    <t>wtorek</t>
  </si>
  <si>
    <t>środa</t>
  </si>
  <si>
    <t>czwartek</t>
  </si>
  <si>
    <t>piątek</t>
  </si>
  <si>
    <t>sobota</t>
  </si>
  <si>
    <t>niedziela</t>
  </si>
  <si>
    <t>Miesiąc</t>
  </si>
  <si>
    <t>Koszt przesyłki</t>
  </si>
  <si>
    <t>Nr telefonu</t>
  </si>
  <si>
    <t>Doładowanie</t>
  </si>
  <si>
    <t>Forma</t>
  </si>
  <si>
    <t>internet</t>
  </si>
  <si>
    <t>zdrapka</t>
  </si>
  <si>
    <t>bankomat</t>
  </si>
  <si>
    <t>Data doładowania</t>
  </si>
  <si>
    <t>Kwota bonusu</t>
  </si>
  <si>
    <t>Doładowanie 1</t>
  </si>
  <si>
    <t>Doładowanie 2</t>
  </si>
  <si>
    <t>Kwota doładowania razem</t>
  </si>
  <si>
    <t>Labacki</t>
  </si>
  <si>
    <t>Mabacki</t>
  </si>
  <si>
    <t>Nabacki</t>
  </si>
  <si>
    <t>Oabacki</t>
  </si>
  <si>
    <t>Pabacki</t>
  </si>
  <si>
    <t>Rabacki</t>
  </si>
  <si>
    <t>Sabacki</t>
  </si>
  <si>
    <t>Tabacki</t>
  </si>
  <si>
    <t>Uabacki</t>
  </si>
  <si>
    <t>Wabacki</t>
  </si>
  <si>
    <t>Xabacki</t>
  </si>
  <si>
    <t>Yabacki</t>
  </si>
  <si>
    <t>Zabacki</t>
  </si>
  <si>
    <t>Data dzisiejsza:</t>
  </si>
  <si>
    <t>Kwota stypendnium</t>
  </si>
  <si>
    <t>Razem:</t>
  </si>
  <si>
    <t>Ocena z tego sprawdzianu</t>
  </si>
  <si>
    <t>Jaworzno</t>
  </si>
  <si>
    <t>Katowice</t>
  </si>
  <si>
    <t>Radom</t>
  </si>
  <si>
    <t>Kielce</t>
  </si>
  <si>
    <t>Gdynia</t>
  </si>
  <si>
    <t>Wrocław</t>
  </si>
  <si>
    <t>Zielona Góra</t>
  </si>
  <si>
    <t>Olsztyn</t>
  </si>
  <si>
    <t>Tomaszów Mazowiecki</t>
  </si>
  <si>
    <t>Częstochowa</t>
  </si>
  <si>
    <t>Zamość</t>
  </si>
  <si>
    <t>Białystok</t>
  </si>
  <si>
    <t>Sopot</t>
  </si>
  <si>
    <t>Zakopane</t>
  </si>
  <si>
    <t>poNiedziałek</t>
  </si>
  <si>
    <t>Wtorek</t>
  </si>
  <si>
    <t>CZWartek</t>
  </si>
  <si>
    <t>cZwartek</t>
  </si>
  <si>
    <t>pONiedziałek</t>
  </si>
  <si>
    <t>pIĄtek</t>
  </si>
  <si>
    <t>Poniedziałek</t>
  </si>
  <si>
    <t>wTorek</t>
  </si>
  <si>
    <t>ŚROda</t>
  </si>
  <si>
    <t>SOBOTA</t>
  </si>
  <si>
    <t>Kod</t>
  </si>
  <si>
    <t>Login</t>
  </si>
  <si>
    <t>Rok urodzenia</t>
  </si>
  <si>
    <t>T</t>
  </si>
  <si>
    <t>Formułę (wynik) wpisz w czerwone pole</t>
  </si>
  <si>
    <r>
      <t>Oblicz wartość wyrażenia:</t>
    </r>
    <r>
      <rPr>
        <b/>
        <sz val="10"/>
        <color rgb="FF339966"/>
        <rFont val="Arial"/>
        <family val="2"/>
        <charset val="238"/>
      </rPr>
      <t xml:space="preserve"> </t>
    </r>
    <r>
      <rPr>
        <b/>
        <sz val="10"/>
        <color rgb="FFFF0000"/>
        <rFont val="Arial"/>
        <family val="2"/>
        <charset val="238"/>
      </rPr>
      <t xml:space="preserve"> </t>
    </r>
  </si>
  <si>
    <t>dla kąta x=</t>
  </si>
  <si>
    <t>stopni</t>
  </si>
  <si>
    <t>Uwaga! Kąt zmienia się                                          automatycznie!</t>
  </si>
  <si>
    <t>dla y=</t>
  </si>
  <si>
    <t>Uwaga! Y zmienia się                                          automatycznie!</t>
  </si>
  <si>
    <t>Do formuły użyj adresu G3</t>
  </si>
  <si>
    <t>Do formuły użyj adresu G16</t>
  </si>
  <si>
    <t>Słownie</t>
  </si>
  <si>
    <t>podlaskie</t>
  </si>
  <si>
    <t>kujawsko-pomorskie</t>
  </si>
  <si>
    <t>dolnośląskie</t>
  </si>
  <si>
    <t>E</t>
  </si>
  <si>
    <t>łódzkie</t>
  </si>
  <si>
    <t>F</t>
  </si>
  <si>
    <t>lubuskie</t>
  </si>
  <si>
    <t>G</t>
  </si>
  <si>
    <t>pomorskie</t>
  </si>
  <si>
    <t>K</t>
  </si>
  <si>
    <t>małopolskie</t>
  </si>
  <si>
    <t>L</t>
  </si>
  <si>
    <t>lubelskie</t>
  </si>
  <si>
    <t>N</t>
  </si>
  <si>
    <t>warmińsko-mazurskie</t>
  </si>
  <si>
    <t>O</t>
  </si>
  <si>
    <t>opolskie</t>
  </si>
  <si>
    <t>P</t>
  </si>
  <si>
    <t>wielkopolskie</t>
  </si>
  <si>
    <t>R</t>
  </si>
  <si>
    <t>podkarpackie</t>
  </si>
  <si>
    <t>S</t>
  </si>
  <si>
    <t>śląskie</t>
  </si>
  <si>
    <t>świętokrzyskie</t>
  </si>
  <si>
    <t>W</t>
  </si>
  <si>
    <t>mazowieckie</t>
  </si>
  <si>
    <t>Z</t>
  </si>
  <si>
    <t>zachodniopomorskie</t>
  </si>
  <si>
    <t>Województwo</t>
  </si>
  <si>
    <t>Wyróżnik woj.</t>
  </si>
  <si>
    <t>Uczeń</t>
  </si>
  <si>
    <t>Symbol grupy językowej</t>
  </si>
  <si>
    <t>M</t>
  </si>
  <si>
    <t>U</t>
  </si>
  <si>
    <t>Nazwa języka (prowadzący)</t>
  </si>
  <si>
    <t>Cena 1 biletu</t>
  </si>
  <si>
    <t>Liczba osób</t>
  </si>
  <si>
    <t>Nr rezerwacji</t>
  </si>
  <si>
    <t>Data urodzenia</t>
  </si>
  <si>
    <t>Liczba dni</t>
  </si>
  <si>
    <t>margula1</t>
  </si>
  <si>
    <t>hydrant</t>
  </si>
  <si>
    <t>lawka_b4</t>
  </si>
  <si>
    <t>olimpiada1978</t>
  </si>
  <si>
    <t>michalekw</t>
  </si>
  <si>
    <t>rwa97r</t>
  </si>
  <si>
    <t>MagdaF_1</t>
  </si>
  <si>
    <t>Martusia_P</t>
  </si>
  <si>
    <t>Adieu_15</t>
  </si>
  <si>
    <t>hejah5454</t>
  </si>
  <si>
    <t>ewcias</t>
  </si>
  <si>
    <t>_marley_</t>
  </si>
  <si>
    <t>emilka-ania</t>
  </si>
  <si>
    <t>paczusia</t>
  </si>
  <si>
    <t>natasza24</t>
  </si>
  <si>
    <t>prprpr</t>
  </si>
  <si>
    <t>aaddaamm</t>
  </si>
  <si>
    <t>Magda_88</t>
  </si>
  <si>
    <t>lion31</t>
  </si>
  <si>
    <t>kotek1221</t>
  </si>
  <si>
    <t>akwalon</t>
  </si>
  <si>
    <t>joanna_tancerka</t>
  </si>
  <si>
    <t>marta17</t>
  </si>
  <si>
    <t>monia17</t>
  </si>
  <si>
    <t>kasia89</t>
  </si>
  <si>
    <t>Opłata za przejazd</t>
  </si>
  <si>
    <t>Do formuły użyj adresu G27</t>
  </si>
  <si>
    <t>Do formuły użyj adresu G40</t>
  </si>
  <si>
    <t>Do formuły użyj adresu G51</t>
  </si>
  <si>
    <t>francuski (Wiśniewska)</t>
  </si>
  <si>
    <t>angielski (Grochowiak)</t>
  </si>
  <si>
    <t>angielski (Kowalski)</t>
  </si>
  <si>
    <t>niemiecki (Marek)</t>
  </si>
  <si>
    <t>niemiecki (Nowak)</t>
  </si>
  <si>
    <t>angielski (Pawłowska)</t>
  </si>
  <si>
    <t>rosyjski (Wiśniewski)</t>
  </si>
  <si>
    <t>angielski (Szymczak)</t>
  </si>
  <si>
    <t>włoski (Urbaniak)</t>
  </si>
  <si>
    <t>Liczebność grupy</t>
  </si>
  <si>
    <t>Liczba</t>
  </si>
  <si>
    <t>jeden</t>
  </si>
  <si>
    <t>dwa</t>
  </si>
  <si>
    <t>trzy</t>
  </si>
  <si>
    <t>cztery</t>
  </si>
  <si>
    <t>pięć</t>
  </si>
  <si>
    <t>sześć</t>
  </si>
  <si>
    <t>siedem</t>
  </si>
  <si>
    <t>osiem</t>
  </si>
  <si>
    <t>dziewięć</t>
  </si>
  <si>
    <t>dziesięć</t>
  </si>
  <si>
    <t>jedenaście</t>
  </si>
  <si>
    <t>dwanaście</t>
  </si>
  <si>
    <t>trzynaście</t>
  </si>
  <si>
    <t>czternaście</t>
  </si>
  <si>
    <t>piętnaście</t>
  </si>
  <si>
    <t>szesnaście</t>
  </si>
  <si>
    <t>siedemnaście</t>
  </si>
  <si>
    <t>osiemnaście</t>
  </si>
  <si>
    <t>dziewiętnaście</t>
  </si>
  <si>
    <t>dwadzieścia</t>
  </si>
  <si>
    <t>trzydzieści</t>
  </si>
  <si>
    <t>czterdzieści</t>
  </si>
  <si>
    <t>pięćdziesiąt</t>
  </si>
  <si>
    <t>sześćdziesiąt</t>
  </si>
  <si>
    <t>siedemdziesiąt</t>
  </si>
  <si>
    <t>osiemdziesiąt</t>
  </si>
  <si>
    <t>dziewięćdziesiąt</t>
  </si>
  <si>
    <t>sto</t>
  </si>
  <si>
    <t>dwieście</t>
  </si>
  <si>
    <t>trzysta</t>
  </si>
  <si>
    <t>czterysta</t>
  </si>
  <si>
    <t>pięćset</t>
  </si>
  <si>
    <t>sześćset</t>
  </si>
  <si>
    <t>siedemset</t>
  </si>
  <si>
    <t>osiemset</t>
  </si>
  <si>
    <t>dziewięćset</t>
  </si>
  <si>
    <t>Klasa</t>
  </si>
  <si>
    <t>1A</t>
  </si>
  <si>
    <t>1B</t>
  </si>
  <si>
    <t>1C</t>
  </si>
  <si>
    <t>Łączna kwota</t>
  </si>
  <si>
    <t>Nr rejestracyjny</t>
  </si>
  <si>
    <t>Nr biletu</t>
  </si>
  <si>
    <t>Liczba km</t>
  </si>
  <si>
    <t>Cena biletu</t>
  </si>
  <si>
    <t>Liczba tirów</t>
  </si>
  <si>
    <t>Dni tygodnia</t>
  </si>
  <si>
    <t>włoski (Wiśniewska)</t>
  </si>
  <si>
    <t xml:space="preserve">dla y = </t>
  </si>
</sst>
</file>

<file path=xl/styles.xml><?xml version="1.0" encoding="utf-8"?>
<styleSheet xmlns="http://schemas.openxmlformats.org/spreadsheetml/2006/main">
  <numFmts count="6">
    <numFmt numFmtId="44" formatCode="_-* #,##0.00\ &quot;zł&quot;_-;\-* #,##0.00\ &quot;zł&quot;_-;_-* &quot;-&quot;??\ &quot;zł&quot;_-;_-@_-"/>
    <numFmt numFmtId="43" formatCode="_-* #,##0.00\ _z_ł_-;\-* #,##0.00\ _z_ł_-;_-* &quot;-&quot;??\ _z_ł_-;_-@_-"/>
    <numFmt numFmtId="164" formatCode="_-* #,##0\ _z_ł_-;\-* #,##0\ _z_ł_-;_-* &quot;-&quot;??\ _z_ł_-;_-@_-"/>
    <numFmt numFmtId="165" formatCode="[$-415]d/mmm/yyyy;@"/>
    <numFmt numFmtId="166" formatCode="_-* #,##0\ &quot;zł&quot;_-;\-* #,##0\ &quot;zł&quot;_-;_-* &quot;-&quot;??\ &quot;zł&quot;_-;_-@_-"/>
    <numFmt numFmtId="167" formatCode="dd\ mmm\ \(\g\o\d\z\.hh:mm:ss\)"/>
  </numFmts>
  <fonts count="22">
    <font>
      <sz val="10"/>
      <name val="Arial"/>
      <charset val="238"/>
    </font>
    <font>
      <sz val="10"/>
      <name val="Arial"/>
      <charset val="238"/>
    </font>
    <font>
      <b/>
      <sz val="10"/>
      <color indexed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indexed="12"/>
      <name val="Arial"/>
      <family val="2"/>
      <charset val="238"/>
    </font>
    <font>
      <sz val="10"/>
      <color indexed="10"/>
      <name val="Arial"/>
      <family val="2"/>
      <charset val="238"/>
    </font>
    <font>
      <b/>
      <sz val="10"/>
      <name val="Arial"/>
      <family val="2"/>
      <charset val="238"/>
    </font>
    <font>
      <sz val="14"/>
      <color indexed="12"/>
      <name val="Arial"/>
      <family val="2"/>
      <charset val="238"/>
    </font>
    <font>
      <sz val="14"/>
      <color indexed="10"/>
      <name val="Arial"/>
      <family val="2"/>
      <charset val="238"/>
    </font>
    <font>
      <sz val="11"/>
      <name val="Calibri"/>
      <family val="2"/>
      <charset val="238"/>
    </font>
    <font>
      <u/>
      <sz val="10"/>
      <color theme="10"/>
      <name val="Arial"/>
      <family val="2"/>
      <charset val="238"/>
    </font>
    <font>
      <b/>
      <i/>
      <sz val="10"/>
      <name val="Arial"/>
      <family val="2"/>
      <charset val="238"/>
    </font>
    <font>
      <sz val="9"/>
      <name val="Calibri"/>
      <family val="2"/>
      <charset val="238"/>
    </font>
    <font>
      <b/>
      <sz val="10"/>
      <color indexed="12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22"/>
      <color rgb="FFFFFF00"/>
      <name val="Arial"/>
      <family val="2"/>
      <charset val="238"/>
    </font>
    <font>
      <b/>
      <sz val="10"/>
      <color rgb="FF008000"/>
      <name val="Arial"/>
      <family val="2"/>
      <charset val="238"/>
    </font>
    <font>
      <b/>
      <sz val="10"/>
      <color rgb="FF339966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9"/>
      <name val="Times New Roman"/>
      <family val="1"/>
      <charset val="238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1" fillId="0" borderId="0"/>
  </cellStyleXfs>
  <cellXfs count="145">
    <xf numFmtId="0" fontId="0" fillId="0" borderId="0" xfId="0"/>
    <xf numFmtId="0" fontId="0" fillId="3" borderId="1" xfId="0" applyFill="1" applyBorder="1"/>
    <xf numFmtId="0" fontId="4" fillId="0" borderId="0" xfId="4"/>
    <xf numFmtId="0" fontId="4" fillId="0" borderId="1" xfId="4" applyBorder="1"/>
    <xf numFmtId="0" fontId="4" fillId="0" borderId="2" xfId="4" applyBorder="1"/>
    <xf numFmtId="0" fontId="7" fillId="2" borderId="3" xfId="4" applyFont="1" applyFill="1" applyBorder="1" applyProtection="1">
      <protection locked="0"/>
    </xf>
    <xf numFmtId="0" fontId="5" fillId="0" borderId="0" xfId="4" applyFont="1" applyBorder="1"/>
    <xf numFmtId="44" fontId="6" fillId="0" borderId="0" xfId="7" applyFont="1" applyBorder="1" applyProtection="1">
      <protection locked="0"/>
    </xf>
    <xf numFmtId="0" fontId="8" fillId="2" borderId="0" xfId="4" applyFont="1" applyFill="1" applyBorder="1"/>
    <xf numFmtId="44" fontId="9" fillId="2" borderId="0" xfId="7" applyFont="1" applyFill="1" applyBorder="1" applyProtection="1">
      <protection locked="0"/>
    </xf>
    <xf numFmtId="0" fontId="2" fillId="0" borderId="6" xfId="4" applyFont="1" applyBorder="1" applyProtection="1">
      <protection locked="0"/>
    </xf>
    <xf numFmtId="43" fontId="9" fillId="5" borderId="0" xfId="1" applyFont="1" applyFill="1" applyBorder="1" applyProtection="1">
      <protection locked="0"/>
    </xf>
    <xf numFmtId="164" fontId="9" fillId="5" borderId="0" xfId="1" applyNumberFormat="1" applyFont="1" applyFill="1" applyBorder="1" applyAlignment="1" applyProtection="1">
      <alignment horizontal="right"/>
      <protection locked="0"/>
    </xf>
    <xf numFmtId="0" fontId="7" fillId="5" borderId="7" xfId="0" applyFont="1" applyFill="1" applyBorder="1"/>
    <xf numFmtId="0" fontId="10" fillId="0" borderId="8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21" fontId="10" fillId="0" borderId="9" xfId="0" applyNumberFormat="1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1" xfId="0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21" fontId="10" fillId="0" borderId="12" xfId="0" applyNumberFormat="1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0" fillId="0" borderId="14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21" fontId="10" fillId="0" borderId="15" xfId="0" applyNumberFormat="1" applyFont="1" applyBorder="1" applyAlignment="1">
      <alignment vertical="top" wrapText="1"/>
    </xf>
    <xf numFmtId="0" fontId="3" fillId="0" borderId="0" xfId="5"/>
    <xf numFmtId="0" fontId="3" fillId="2" borderId="1" xfId="5" applyFill="1" applyBorder="1"/>
    <xf numFmtId="0" fontId="3" fillId="4" borderId="1" xfId="5" applyFill="1" applyBorder="1"/>
    <xf numFmtId="165" fontId="3" fillId="4" borderId="1" xfId="5" applyNumberFormat="1" applyFill="1" applyBorder="1"/>
    <xf numFmtId="0" fontId="3" fillId="0" borderId="1" xfId="5" applyBorder="1"/>
    <xf numFmtId="0" fontId="5" fillId="0" borderId="0" xfId="5" applyFont="1"/>
    <xf numFmtId="0" fontId="3" fillId="0" borderId="1" xfId="5" applyBorder="1" applyAlignment="1">
      <alignment horizontal="center"/>
    </xf>
    <xf numFmtId="0" fontId="3" fillId="0" borderId="2" xfId="5" applyBorder="1" applyAlignment="1">
      <alignment horizontal="center"/>
    </xf>
    <xf numFmtId="0" fontId="7" fillId="2" borderId="3" xfId="5" applyFont="1" applyFill="1" applyBorder="1"/>
    <xf numFmtId="0" fontId="7" fillId="2" borderId="4" xfId="5" applyFont="1" applyFill="1" applyBorder="1"/>
    <xf numFmtId="0" fontId="7" fillId="2" borderId="5" xfId="5" applyFont="1" applyFill="1" applyBorder="1"/>
    <xf numFmtId="0" fontId="3" fillId="0" borderId="0" xfId="5" applyAlignment="1">
      <alignment horizontal="center"/>
    </xf>
    <xf numFmtId="0" fontId="3" fillId="0" borderId="6" xfId="5" applyBorder="1" applyAlignment="1">
      <alignment horizontal="center"/>
    </xf>
    <xf numFmtId="44" fontId="10" fillId="0" borderId="3" xfId="8" applyFont="1" applyBorder="1" applyAlignment="1">
      <alignment vertical="top" wrapText="1"/>
    </xf>
    <xf numFmtId="0" fontId="12" fillId="6" borderId="3" xfId="0" applyFont="1" applyFill="1" applyBorder="1"/>
    <xf numFmtId="44" fontId="10" fillId="0" borderId="4" xfId="8" applyFont="1" applyBorder="1" applyAlignment="1">
      <alignment vertical="top" wrapText="1"/>
    </xf>
    <xf numFmtId="0" fontId="12" fillId="6" borderId="4" xfId="0" applyFont="1" applyFill="1" applyBorder="1"/>
    <xf numFmtId="0" fontId="3" fillId="0" borderId="0" xfId="0" applyFont="1"/>
    <xf numFmtId="44" fontId="10" fillId="0" borderId="5" xfId="8" applyFont="1" applyBorder="1" applyAlignment="1">
      <alignment vertical="top" wrapText="1"/>
    </xf>
    <xf numFmtId="0" fontId="12" fillId="6" borderId="5" xfId="0" applyFont="1" applyFill="1" applyBorder="1"/>
    <xf numFmtId="43" fontId="0" fillId="0" borderId="0" xfId="1" applyFont="1"/>
    <xf numFmtId="44" fontId="10" fillId="0" borderId="1" xfId="8" applyFont="1" applyBorder="1" applyAlignment="1">
      <alignment vertical="top" wrapText="1"/>
    </xf>
    <xf numFmtId="164" fontId="10" fillId="0" borderId="1" xfId="1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20" xfId="0" applyBorder="1"/>
    <xf numFmtId="0" fontId="12" fillId="6" borderId="21" xfId="0" applyFont="1" applyFill="1" applyBorder="1"/>
    <xf numFmtId="0" fontId="0" fillId="0" borderId="22" xfId="0" applyBorder="1"/>
    <xf numFmtId="44" fontId="10" fillId="0" borderId="23" xfId="8" applyFont="1" applyBorder="1" applyAlignment="1">
      <alignment vertical="top" wrapText="1"/>
    </xf>
    <xf numFmtId="164" fontId="10" fillId="0" borderId="23" xfId="1" applyNumberFormat="1" applyFont="1" applyBorder="1" applyAlignment="1">
      <alignment vertical="top" wrapText="1"/>
    </xf>
    <xf numFmtId="0" fontId="10" fillId="0" borderId="23" xfId="0" applyFont="1" applyBorder="1" applyAlignment="1">
      <alignment vertical="top" wrapText="1"/>
    </xf>
    <xf numFmtId="0" fontId="12" fillId="6" borderId="24" xfId="0" applyFont="1" applyFill="1" applyBorder="1"/>
    <xf numFmtId="0" fontId="0" fillId="0" borderId="25" xfId="0" applyBorder="1"/>
    <xf numFmtId="44" fontId="10" fillId="0" borderId="26" xfId="8" applyFont="1" applyBorder="1" applyAlignment="1">
      <alignment vertical="top" wrapText="1"/>
    </xf>
    <xf numFmtId="164" fontId="10" fillId="0" borderId="26" xfId="1" applyNumberFormat="1" applyFont="1" applyBorder="1" applyAlignment="1">
      <alignment vertical="top" wrapText="1"/>
    </xf>
    <xf numFmtId="0" fontId="10" fillId="0" borderId="26" xfId="0" applyFont="1" applyBorder="1" applyAlignment="1">
      <alignment vertical="top" wrapText="1"/>
    </xf>
    <xf numFmtId="0" fontId="12" fillId="6" borderId="27" xfId="0" applyFont="1" applyFill="1" applyBorder="1"/>
    <xf numFmtId="0" fontId="7" fillId="5" borderId="29" xfId="0" applyFont="1" applyFill="1" applyBorder="1"/>
    <xf numFmtId="0" fontId="7" fillId="5" borderId="30" xfId="0" applyFont="1" applyFill="1" applyBorder="1"/>
    <xf numFmtId="0" fontId="7" fillId="5" borderId="28" xfId="0" applyFont="1" applyFill="1" applyBorder="1"/>
    <xf numFmtId="167" fontId="13" fillId="0" borderId="26" xfId="1" applyNumberFormat="1" applyFont="1" applyBorder="1" applyAlignment="1">
      <alignment vertical="top" wrapText="1"/>
    </xf>
    <xf numFmtId="167" fontId="13" fillId="0" borderId="1" xfId="1" applyNumberFormat="1" applyFont="1" applyBorder="1" applyAlignment="1">
      <alignment vertical="top" wrapText="1"/>
    </xf>
    <xf numFmtId="167" fontId="13" fillId="0" borderId="23" xfId="1" applyNumberFormat="1" applyFont="1" applyBorder="1" applyAlignment="1">
      <alignment vertical="top" wrapText="1"/>
    </xf>
    <xf numFmtId="0" fontId="7" fillId="5" borderId="31" xfId="0" applyFont="1" applyFill="1" applyBorder="1"/>
    <xf numFmtId="166" fontId="0" fillId="0" borderId="32" xfId="6" applyNumberFormat="1" applyFont="1" applyBorder="1"/>
    <xf numFmtId="43" fontId="3" fillId="0" borderId="0" xfId="1" applyFont="1"/>
    <xf numFmtId="0" fontId="7" fillId="5" borderId="33" xfId="5" applyFont="1" applyFill="1" applyBorder="1"/>
    <xf numFmtId="14" fontId="14" fillId="5" borderId="34" xfId="5" applyNumberFormat="1" applyFont="1" applyFill="1" applyBorder="1"/>
    <xf numFmtId="44" fontId="3" fillId="4" borderId="1" xfId="6" applyFont="1" applyFill="1" applyBorder="1"/>
    <xf numFmtId="0" fontId="15" fillId="7" borderId="18" xfId="5" applyFont="1" applyFill="1" applyBorder="1"/>
    <xf numFmtId="164" fontId="3" fillId="4" borderId="1" xfId="1" applyNumberFormat="1" applyFont="1" applyFill="1" applyBorder="1"/>
    <xf numFmtId="0" fontId="3" fillId="3" borderId="1" xfId="0" applyFont="1" applyFill="1" applyBorder="1"/>
    <xf numFmtId="0" fontId="3" fillId="0" borderId="7" xfId="5" applyBorder="1" applyAlignment="1">
      <alignment horizontal="center"/>
    </xf>
    <xf numFmtId="0" fontId="17" fillId="5" borderId="0" xfId="0" applyFont="1" applyFill="1" applyAlignment="1">
      <alignment horizontal="left" readingOrder="1"/>
    </xf>
    <xf numFmtId="0" fontId="0" fillId="5" borderId="0" xfId="0" applyFill="1"/>
    <xf numFmtId="0" fontId="7" fillId="5" borderId="0" xfId="0" applyFont="1" applyFill="1"/>
    <xf numFmtId="0" fontId="17" fillId="5" borderId="0" xfId="0" applyFont="1" applyFill="1" applyAlignment="1">
      <alignment horizontal="right" readingOrder="1"/>
    </xf>
    <xf numFmtId="0" fontId="17" fillId="9" borderId="18" xfId="0" applyFont="1" applyFill="1" applyBorder="1" applyAlignment="1">
      <alignment horizontal="left" readingOrder="1"/>
    </xf>
    <xf numFmtId="14" fontId="3" fillId="0" borderId="1" xfId="5" applyNumberFormat="1" applyBorder="1"/>
    <xf numFmtId="0" fontId="7" fillId="2" borderId="1" xfId="5" applyFont="1" applyFill="1" applyBorder="1"/>
    <xf numFmtId="0" fontId="20" fillId="0" borderId="35" xfId="0" applyFont="1" applyBorder="1" applyAlignment="1">
      <alignment vertical="top" wrapText="1"/>
    </xf>
    <xf numFmtId="0" fontId="13" fillId="0" borderId="36" xfId="0" applyFont="1" applyBorder="1" applyAlignment="1">
      <alignment vertical="top" wrapText="1"/>
    </xf>
    <xf numFmtId="0" fontId="20" fillId="0" borderId="37" xfId="0" applyFont="1" applyBorder="1" applyAlignment="1">
      <alignment vertical="top" wrapText="1"/>
    </xf>
    <xf numFmtId="0" fontId="13" fillId="0" borderId="38" xfId="0" applyFont="1" applyBorder="1" applyAlignment="1">
      <alignment vertical="top" wrapText="1"/>
    </xf>
    <xf numFmtId="164" fontId="3" fillId="0" borderId="1" xfId="1" applyNumberFormat="1" applyFont="1" applyBorder="1"/>
    <xf numFmtId="0" fontId="3" fillId="0" borderId="0" xfId="5" applyBorder="1"/>
    <xf numFmtId="0" fontId="20" fillId="0" borderId="0" xfId="0" applyFont="1" applyBorder="1" applyAlignment="1">
      <alignment vertical="top" wrapText="1"/>
    </xf>
    <xf numFmtId="0" fontId="13" fillId="0" borderId="0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3" fillId="0" borderId="1" xfId="4" applyFont="1" applyBorder="1"/>
    <xf numFmtId="0" fontId="3" fillId="0" borderId="0" xfId="4" applyFont="1"/>
    <xf numFmtId="0" fontId="11" fillId="0" borderId="11" xfId="3" applyBorder="1" applyAlignment="1" applyProtection="1">
      <alignment vertical="top" wrapText="1"/>
    </xf>
    <xf numFmtId="0" fontId="11" fillId="0" borderId="13" xfId="3" applyBorder="1" applyAlignment="1" applyProtection="1">
      <alignment vertical="top" wrapText="1"/>
    </xf>
    <xf numFmtId="0" fontId="11" fillId="0" borderId="14" xfId="3" applyBorder="1" applyAlignment="1" applyProtection="1">
      <alignment vertical="top" wrapText="1"/>
    </xf>
    <xf numFmtId="0" fontId="4" fillId="0" borderId="20" xfId="4" applyBorder="1"/>
    <xf numFmtId="0" fontId="4" fillId="0" borderId="22" xfId="4" applyBorder="1"/>
    <xf numFmtId="0" fontId="2" fillId="0" borderId="42" xfId="4" applyFont="1" applyBorder="1" applyProtection="1">
      <protection locked="0"/>
    </xf>
    <xf numFmtId="0" fontId="7" fillId="2" borderId="20" xfId="4" applyFont="1" applyFill="1" applyBorder="1" applyProtection="1">
      <protection locked="0"/>
    </xf>
    <xf numFmtId="0" fontId="7" fillId="2" borderId="22" xfId="4" applyFont="1" applyFill="1" applyBorder="1" applyProtection="1">
      <protection locked="0"/>
    </xf>
    <xf numFmtId="0" fontId="4" fillId="0" borderId="25" xfId="4" applyBorder="1"/>
    <xf numFmtId="0" fontId="2" fillId="0" borderId="43" xfId="4" applyFont="1" applyBorder="1" applyProtection="1">
      <protection locked="0"/>
    </xf>
    <xf numFmtId="0" fontId="7" fillId="2" borderId="25" xfId="4" applyFont="1" applyFill="1" applyBorder="1" applyProtection="1">
      <protection locked="0"/>
    </xf>
    <xf numFmtId="0" fontId="4" fillId="0" borderId="28" xfId="4" applyBorder="1"/>
    <xf numFmtId="0" fontId="4" fillId="0" borderId="33" xfId="4" applyBorder="1"/>
    <xf numFmtId="0" fontId="3" fillId="0" borderId="30" xfId="4" applyFont="1" applyBorder="1"/>
    <xf numFmtId="44" fontId="4" fillId="10" borderId="27" xfId="6" applyFont="1" applyFill="1" applyBorder="1"/>
    <xf numFmtId="44" fontId="4" fillId="10" borderId="21" xfId="6" applyFont="1" applyFill="1" applyBorder="1"/>
    <xf numFmtId="44" fontId="4" fillId="10" borderId="24" xfId="6" applyFont="1" applyFill="1" applyBorder="1"/>
    <xf numFmtId="14" fontId="3" fillId="0" borderId="0" xfId="5" applyNumberFormat="1"/>
    <xf numFmtId="0" fontId="13" fillId="0" borderId="6" xfId="0" applyFont="1" applyBorder="1" applyAlignment="1">
      <alignment vertical="top" wrapText="1"/>
    </xf>
    <xf numFmtId="0" fontId="3" fillId="10" borderId="1" xfId="5" applyFill="1" applyBorder="1"/>
    <xf numFmtId="0" fontId="3" fillId="11" borderId="1" xfId="5" applyFill="1" applyBorder="1"/>
    <xf numFmtId="0" fontId="3" fillId="11" borderId="39" xfId="5" applyFill="1" applyBorder="1"/>
    <xf numFmtId="0" fontId="3" fillId="11" borderId="40" xfId="5" applyFill="1" applyBorder="1"/>
    <xf numFmtId="0" fontId="3" fillId="11" borderId="41" xfId="5" applyFill="1" applyBorder="1"/>
    <xf numFmtId="0" fontId="3" fillId="11" borderId="20" xfId="5" applyFill="1" applyBorder="1"/>
    <xf numFmtId="0" fontId="3" fillId="11" borderId="21" xfId="5" applyFill="1" applyBorder="1"/>
    <xf numFmtId="0" fontId="3" fillId="11" borderId="22" xfId="5" applyFill="1" applyBorder="1"/>
    <xf numFmtId="0" fontId="3" fillId="11" borderId="23" xfId="5" applyFill="1" applyBorder="1"/>
    <xf numFmtId="0" fontId="3" fillId="11" borderId="24" xfId="5" applyFill="1" applyBorder="1"/>
    <xf numFmtId="0" fontId="3" fillId="0" borderId="39" xfId="5" applyBorder="1"/>
    <xf numFmtId="0" fontId="3" fillId="0" borderId="41" xfId="5" applyBorder="1"/>
    <xf numFmtId="0" fontId="3" fillId="0" borderId="20" xfId="5" applyBorder="1"/>
    <xf numFmtId="0" fontId="3" fillId="0" borderId="22" xfId="5" applyBorder="1"/>
    <xf numFmtId="44" fontId="3" fillId="5" borderId="21" xfId="6" applyFont="1" applyFill="1" applyBorder="1"/>
    <xf numFmtId="44" fontId="3" fillId="5" borderId="24" xfId="6" applyFont="1" applyFill="1" applyBorder="1"/>
    <xf numFmtId="0" fontId="3" fillId="0" borderId="2" xfId="4" applyFont="1" applyBorder="1"/>
    <xf numFmtId="0" fontId="3" fillId="0" borderId="44" xfId="4" applyFont="1" applyBorder="1"/>
    <xf numFmtId="0" fontId="8" fillId="2" borderId="0" xfId="4" applyFont="1" applyFill="1" applyBorder="1" applyAlignment="1">
      <alignment horizontal="center"/>
    </xf>
    <xf numFmtId="166" fontId="9" fillId="5" borderId="0" xfId="7" applyNumberFormat="1" applyFont="1" applyFill="1" applyBorder="1" applyAlignment="1" applyProtection="1">
      <alignment horizontal="center"/>
      <protection locked="0"/>
    </xf>
    <xf numFmtId="0" fontId="7" fillId="5" borderId="16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right"/>
    </xf>
    <xf numFmtId="44" fontId="3" fillId="0" borderId="0" xfId="5" applyNumberFormat="1"/>
    <xf numFmtId="44" fontId="15" fillId="7" borderId="18" xfId="5" applyNumberFormat="1" applyFont="1" applyFill="1" applyBorder="1"/>
    <xf numFmtId="164" fontId="3" fillId="0" borderId="0" xfId="5" applyNumberFormat="1"/>
  </cellXfs>
  <cellStyles count="10">
    <cellStyle name="Dziesiętny" xfId="1" builtinId="3"/>
    <cellStyle name="Dziesiętny 2" xfId="2"/>
    <cellStyle name="Hiperłącze" xfId="3" builtinId="8"/>
    <cellStyle name="Normalny" xfId="0" builtinId="0"/>
    <cellStyle name="Normalny 2" xfId="4"/>
    <cellStyle name="Normalny 3" xfId="5"/>
    <cellStyle name="Normalny 4" xfId="9"/>
    <cellStyle name="Walutowy" xfId="6" builtinId="4"/>
    <cellStyle name="Walutowy 2" xfId="7"/>
    <cellStyle name="Walutowy 3" xfId="8"/>
  </cellStyles>
  <dxfs count="0"/>
  <tableStyles count="0" defaultTableStyle="TableStyleMedium9" defaultPivotStyle="PivotStyleLight16"/>
  <colors>
    <mruColors>
      <color rgb="FFFF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361950</xdr:colOff>
      <xdr:row>10</xdr:row>
      <xdr:rowOff>76200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Zauważ,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że są uczniowie, którzy nie otrzymują stypendium.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sumę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stypendiów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400050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386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 zmienia się automatycznie. Zauważ, że są uczniowie, którzy nie otrzymują stypendium.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największą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stypendium spośród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133350</xdr:rowOff>
    </xdr:from>
    <xdr:to>
      <xdr:col>9</xdr:col>
      <xdr:colOff>314325</xdr:colOff>
      <xdr:row>11</xdr:row>
      <xdr:rowOff>38100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400300" y="295275"/>
          <a:ext cx="4295775" cy="152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oceną ze sprawdzianu z arkusza kalkulacyjnego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Ocena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automatycznie. Zauważ, że są uczniowie, którzy nie byli obecni na sprawdzianie.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średnią (arytmetyczną)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ocenę klasy zaokrągloną do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jednego miejsca po przecinku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13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219575" y="85725"/>
          <a:ext cx="3324225" cy="2238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za przejazd jednego kilometra autobusem pewnego prewoźnika.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Komórki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zawierają spis biletów. Liczba kilometrów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cenę biletu, uwzględniającą wszelkie powyższe warunki. Cena biletu jest równa iloczynowi liczby km i ceny za 1 km.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15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486150" y="85725"/>
          <a:ext cx="3324225" cy="2562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jednego biletu do kina.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z internetowego systemu rezerwacji zawierający l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iczbę osób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0 oznacza, że rezerwacja została anulowana.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 wartość zarezerwowanych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biletów,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uwzględniającą wszelkie powyższe warunki. Kwota jest równa iloczynowi liczby osób i ceny biletu.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142875</xdr:rowOff>
    </xdr:from>
    <xdr:to>
      <xdr:col>11</xdr:col>
      <xdr:colOff>276225</xdr:colOff>
      <xdr:row>12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3609975" y="142875"/>
          <a:ext cx="4295775" cy="1809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bieżącą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datę systemową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B3:D27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datą urodzenia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Data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liczbę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dni życia każdego ucznia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400050</xdr:colOff>
      <xdr:row>2</xdr:row>
      <xdr:rowOff>0</xdr:rowOff>
    </xdr:from>
    <xdr:to>
      <xdr:col>19</xdr:col>
      <xdr:colOff>428625</xdr:colOff>
      <xdr:row>13</xdr:row>
      <xdr:rowOff>152400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57950" y="3619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z pewnej aukcji  − l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iczba sztuk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u="none" strike="noStrike">
            <a:solidFill>
              <a:srgbClr val="0000FF"/>
            </a:solidFill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1 lub 2 sztuk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3 sztuki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17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koszty przesyłki dla każdego kupującego, uwzględniającą wszelkie powyższe warunki.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342900</xdr:colOff>
      <xdr:row>2</xdr:row>
      <xdr:rowOff>161925</xdr:rowOff>
    </xdr:from>
    <xdr:to>
      <xdr:col>19</xdr:col>
      <xdr:colOff>371475</xdr:colOff>
      <xdr:row>14</xdr:row>
      <xdr:rowOff>123825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00800" y="523875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pewnej aukcji z allegro.pl  − cena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może być jedynie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poniżej 20 zł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12,50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20 zł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9,90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 przesyłki dla każdego kupującego, uwzględniającą wszelkie powyższe warunki. 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0</xdr:row>
      <xdr:rowOff>133350</xdr:rowOff>
    </xdr:from>
    <xdr:to>
      <xdr:col>13</xdr:col>
      <xdr:colOff>114300</xdr:colOff>
      <xdr:row>12</xdr:row>
      <xdr:rowOff>114300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4876800" y="1333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A1:F51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D,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Przy doładowaniu przez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internet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właściciel telefonu dostaje dodatkowy bonus w wysokości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 baseline="0">
              <a:solidFill>
                <a:srgbClr val="92D050"/>
              </a:solidFill>
              <a:latin typeface="Arial"/>
              <a:cs typeface="Arial"/>
            </a:rPr>
            <a:t>10%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(pozostali nie dostają nic).</a:t>
          </a:r>
          <a:endParaRPr lang="pl-PL" sz="1000" b="1" i="0" strike="noStrike">
            <a:solidFill>
              <a:schemeClr val="accent3">
                <a:lumMod val="75000"/>
              </a:schemeClr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bonusu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7</xdr:col>
      <xdr:colOff>295275</xdr:colOff>
      <xdr:row>14</xdr:row>
      <xdr:rowOff>152400</xdr:rowOff>
    </xdr:from>
    <xdr:to>
      <xdr:col>12</xdr:col>
      <xdr:colOff>9525</xdr:colOff>
      <xdr:row>33</xdr:row>
      <xdr:rowOff>19050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95950" y="2800350"/>
          <a:ext cx="2762250" cy="348615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0</xdr:row>
      <xdr:rowOff>133349</xdr:rowOff>
    </xdr:from>
    <xdr:to>
      <xdr:col>12</xdr:col>
      <xdr:colOff>114300</xdr:colOff>
      <xdr:row>16</xdr:row>
      <xdr:rowOff>180974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934075" y="133349"/>
          <a:ext cx="4295775" cy="3076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A1:E51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C,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co najmniej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20 zł,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 drugie doładowanie jest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podwajane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tzn. użytkownik dostaje łącznie:</a:t>
          </a:r>
        </a:p>
        <a:p>
          <a:pPr algn="l" rtl="0">
            <a:defRPr sz="1000"/>
          </a:pPr>
          <a:r>
            <a:rPr lang="pl-PL" sz="1000" b="1" i="0" strike="noStrike">
              <a:solidFill>
                <a:srgbClr val="FF0000"/>
              </a:solidFill>
              <a:latin typeface="Arial"/>
              <a:cs typeface="Arial"/>
            </a:rPr>
            <a:t>kwota_1_doładowania + 2 *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mniej niż 20 zł,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użytkownik dostaje łącznie sumę dwóch doładowań:</a:t>
          </a:r>
        </a:p>
        <a:p>
          <a:pPr algn="l" rtl="0">
            <a:defRPr sz="1000"/>
          </a:pPr>
          <a:r>
            <a:rPr lang="pl-PL" sz="1000" b="1" i="0" strike="noStrike" baseline="0">
              <a:solidFill>
                <a:srgbClr val="FF0000"/>
              </a:solidFill>
              <a:latin typeface="Arial"/>
              <a:cs typeface="Arial"/>
            </a:rPr>
            <a:t>kwota_1_doładowania +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doładowania razem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5</xdr:col>
      <xdr:colOff>180975</xdr:colOff>
      <xdr:row>19</xdr:row>
      <xdr:rowOff>28575</xdr:rowOff>
    </xdr:from>
    <xdr:to>
      <xdr:col>12</xdr:col>
      <xdr:colOff>470513</xdr:colOff>
      <xdr:row>30</xdr:row>
      <xdr:rowOff>66675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5" y="3629025"/>
          <a:ext cx="4766288" cy="213360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28573</xdr:rowOff>
    </xdr:from>
    <xdr:to>
      <xdr:col>6</xdr:col>
      <xdr:colOff>323850</xdr:colOff>
      <xdr:row>17</xdr:row>
      <xdr:rowOff>152399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04775" y="28573"/>
          <a:ext cx="4295775" cy="30099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długość pewnej trasy, po której jeżdżą tiry firm transportowych.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E19:G43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firm transportowych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liczbą posiadanych samochodów ciężarowych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Każdy z tirów przejeżdża trasę dokładnie raz. Liczba ciężarówek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łączną trasę przejechaną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przez wszystkie tiry  poszczególnych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firm, uwzględniającą wszelkie powyższe warunki. Łączna trasa jest równa iloczynowi liczby tirów i długości trasy.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opłatę za przejazd, która  zależy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od łącznej trasy i wynosi: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do 5000 km − opłata jednorazowa 1 000 zł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5001−10 000 km − 100 zł plus 18 groszy za każdy km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10 001−15 000 km − 400 zł plus 15 groszy za każdy km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123824</xdr:rowOff>
    </xdr:from>
    <xdr:to>
      <xdr:col>10</xdr:col>
      <xdr:colOff>285750</xdr:colOff>
      <xdr:row>13</xdr:row>
      <xdr:rowOff>76199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228850" y="123824"/>
          <a:ext cx="4295775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polskich miast.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Dla potrzeb nowej matury nazwa miasta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ma zostać automatycznie zakodowana. 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apisz formułę zwracającą kod miasta w postaci pierwszych trzech liter rozdzielonych znakiem podkreślenia _ . Całość jest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Łódź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ł_ó_d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Kraków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k_r_a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Tomaszów Mazowiecki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t_o_m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123825</xdr:rowOff>
    </xdr:from>
    <xdr:to>
      <xdr:col>10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dni tygodnia − w zapisie nie zwracano uwagi na wielkie/małe litery.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skrót nazwy dni tygodnia w postaci pierwszych dwóch liter rozdzielonych znakiem myślnika - . Całość musi być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pONiedziałek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p-o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SOBOTA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s-o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cZwartek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c-z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0</xdr:row>
      <xdr:rowOff>123825</xdr:rowOff>
    </xdr:from>
    <xdr:to>
      <xdr:col>11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lata urodzenia,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imiona użytkowników systemu komputerowego.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login tworzony z pierwszych czterech liter imienia i roku urodzenia bez spacji.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1990 Maria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Mari1990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1995 Anna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Anna1995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1996 Andrzej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Andr1996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rok.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rok słownie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(tylko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końcówkę, </a:t>
          </a:r>
          <a:r>
            <a:rPr lang="pl-PL" sz="1000" b="1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bez wyrażenia 'dwa tysiące'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czternasty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siedemnasty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dziewiętnasty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miesiąc.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polską nazwę miesiąca w dopełniaczu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lutego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grudnia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stycznia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152400</xdr:rowOff>
    </xdr:from>
    <xdr:to>
      <xdr:col>9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liczby (z zakresu 1−999).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Wykorzystaj dane z komórek F20:J29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zapis słowny danej liczby.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czterysta trzydzieści osiem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czterdzieści trzy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21</xdr:row>
      <xdr:rowOff>85725</xdr:rowOff>
    </xdr:from>
    <xdr:to>
      <xdr:col>10</xdr:col>
      <xdr:colOff>1828800</xdr:colOff>
      <xdr:row>33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50" y="3486150"/>
          <a:ext cx="5848350" cy="1924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numery rejestracyjne samochodów (dwie litery, spacja, pięć cyfr),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odpowiadający mu jednoliterowy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wyróżnik województwa (pierwsza litera rejestracji)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województwa, w którym zarejestrowano auto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(nazwa województwa zakodowana jest na pierwszej literze - wyróżniku, zgodnie z tabelą PODPOWIEDŹ).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WP 93918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mazowieckie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EE 66666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łódzkie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SN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12345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śląskie</a:t>
          </a:r>
        </a:p>
      </xdr:txBody>
    </xdr:sp>
    <xdr:clientData/>
  </xdr:twoCellAnchor>
  <xdr:twoCellAnchor>
    <xdr:from>
      <xdr:col>11</xdr:col>
      <xdr:colOff>228599</xdr:colOff>
      <xdr:row>3</xdr:row>
      <xdr:rowOff>85724</xdr:rowOff>
    </xdr:from>
    <xdr:to>
      <xdr:col>17</xdr:col>
      <xdr:colOff>200025</xdr:colOff>
      <xdr:row>14</xdr:row>
      <xdr:rowOff>85724</xdr:rowOff>
    </xdr:to>
    <xdr:sp macro="" textlink="">
      <xdr:nvSpPr>
        <xdr:cNvPr id="3" name="Strzałka w lewo 2"/>
        <xdr:cNvSpPr/>
      </xdr:nvSpPr>
      <xdr:spPr>
        <a:xfrm>
          <a:off x="6515099" y="571499"/>
          <a:ext cx="3629026" cy="17811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PODPOWIEDŹ!</a:t>
          </a:r>
        </a:p>
        <a:p>
          <a:pPr algn="ctr"/>
          <a:r>
            <a:rPr lang="pl-PL" sz="1400" b="1"/>
            <a:t>Tabela</a:t>
          </a:r>
          <a:r>
            <a:rPr lang="pl-PL" sz="1400" b="1" baseline="0"/>
            <a:t> z wyróżnikami literowymi </a:t>
          </a:r>
        </a:p>
        <a:p>
          <a:pPr algn="ctr"/>
          <a:r>
            <a:rPr lang="pl-PL" sz="1400" b="1" baseline="0"/>
            <a:t>i nazwami odpowiadających im województw.</a:t>
          </a:r>
          <a:endParaRPr lang="pl-PL" sz="14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27</xdr:row>
      <xdr:rowOff>57150</xdr:rowOff>
    </xdr:from>
    <xdr:to>
      <xdr:col>10</xdr:col>
      <xdr:colOff>381000</xdr:colOff>
      <xdr:row>37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95350" y="4429125"/>
          <a:ext cx="6877050" cy="1638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języka</a:t>
          </a:r>
          <a:r>
            <a:rPr lang="pl-PL" sz="1000" b="1" i="0" strike="noStrike" baseline="0">
              <a:solidFill>
                <a:srgbClr val="FF0000"/>
              </a:solidFill>
              <a:latin typeface="Arial"/>
              <a:ea typeface="+mn-ea"/>
              <a:cs typeface="Arial"/>
            </a:rPr>
            <a:t> wraz z nazwiskiem prowadzącego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dla każdego ucznia.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angielski (Grochowiak)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U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włoski (Urbaniak)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niemiecki (Nowak)</a:t>
          </a:r>
        </a:p>
      </xdr:txBody>
    </xdr:sp>
    <xdr:clientData/>
  </xdr:twoCellAnchor>
  <xdr:twoCellAnchor>
    <xdr:from>
      <xdr:col>10</xdr:col>
      <xdr:colOff>104774</xdr:colOff>
      <xdr:row>1</xdr:row>
      <xdr:rowOff>9525</xdr:rowOff>
    </xdr:from>
    <xdr:to>
      <xdr:col>13</xdr:col>
      <xdr:colOff>285750</xdr:colOff>
      <xdr:row>7</xdr:row>
      <xdr:rowOff>57149</xdr:rowOff>
    </xdr:to>
    <xdr:sp macro="" textlink="">
      <xdr:nvSpPr>
        <xdr:cNvPr id="3" name="Strzałka w lewo 2"/>
        <xdr:cNvSpPr/>
      </xdr:nvSpPr>
      <xdr:spPr>
        <a:xfrm>
          <a:off x="7496174" y="171450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14</xdr:row>
      <xdr:rowOff>57150</xdr:rowOff>
    </xdr:from>
    <xdr:to>
      <xdr:col>11</xdr:col>
      <xdr:colOff>333375</xdr:colOff>
      <xdr:row>22</xdr:row>
      <xdr:rowOff>142875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505075" y="2324100"/>
          <a:ext cx="5238750" cy="138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obliczającą liczebność poszczególnych grup.</a:t>
          </a:r>
          <a:endParaRPr lang="pl-PL" sz="1000" b="1" i="1" strike="noStrike">
            <a:solidFill>
              <a:srgbClr val="00B05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10</xdr:col>
      <xdr:colOff>238124</xdr:colOff>
      <xdr:row>2</xdr:row>
      <xdr:rowOff>28575</xdr:rowOff>
    </xdr:from>
    <xdr:to>
      <xdr:col>13</xdr:col>
      <xdr:colOff>419100</xdr:colOff>
      <xdr:row>8</xdr:row>
      <xdr:rowOff>76199</xdr:rowOff>
    </xdr:to>
    <xdr:sp macro="" textlink="">
      <xdr:nvSpPr>
        <xdr:cNvPr id="3" name="Strzałka w lewo 2"/>
        <xdr:cNvSpPr/>
      </xdr:nvSpPr>
      <xdr:spPr>
        <a:xfrm>
          <a:off x="7038974" y="352425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133350</xdr:rowOff>
    </xdr:from>
    <xdr:to>
      <xdr:col>10</xdr:col>
      <xdr:colOff>361950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A3:C27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wydaną na usługi telekomunikacyjne w zeszłym miesiącu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Klasa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oraz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H17:H19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formuły obliczające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łączną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wydatków dla poszczególnych klas.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printerSettings" Target="../printerSettings/printerSettings36.bin"/><Relationship Id="rId7" Type="http://schemas.openxmlformats.org/officeDocument/2006/relationships/oleObject" Target="../embeddings/oleObject3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6" Type="http://schemas.openxmlformats.org/officeDocument/2006/relationships/oleObject" Target="../embeddings/oleObject2.bin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Relationship Id="rId9" Type="http://schemas.openxmlformats.org/officeDocument/2006/relationships/oleObject" Target="../embeddings/oleObject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4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4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4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/>
  </sheetPr>
  <dimension ref="A1:D29"/>
  <sheetViews>
    <sheetView workbookViewId="0">
      <selection activeCell="D30" sqref="D30"/>
    </sheetView>
  </sheetViews>
  <sheetFormatPr defaultRowHeight="12.75"/>
  <cols>
    <col min="1" max="1" width="8.28515625" style="25" bestFit="1" customWidth="1"/>
    <col min="2" max="2" width="17.140625" style="25" customWidth="1"/>
    <col min="3" max="3" width="9.140625" style="25"/>
    <col min="4" max="4" width="11.28515625" style="25" bestFit="1" customWidth="1"/>
    <col min="5" max="16384" width="9.140625" style="25"/>
  </cols>
  <sheetData>
    <row r="1" spans="1:2">
      <c r="B1" s="30"/>
    </row>
    <row r="3" spans="1:2">
      <c r="A3" s="26" t="s">
        <v>53</v>
      </c>
      <c r="B3" s="26" t="s">
        <v>111</v>
      </c>
    </row>
    <row r="4" spans="1:2">
      <c r="A4" s="27" t="s">
        <v>54</v>
      </c>
      <c r="B4" s="72">
        <f ca="1">IF(RAND()&lt;0.1,"brak",RAND()*319+52)</f>
        <v>153.39112182238222</v>
      </c>
    </row>
    <row r="5" spans="1:2">
      <c r="A5" s="27" t="s">
        <v>55</v>
      </c>
      <c r="B5" s="72">
        <f t="shared" ref="B5:B27" ca="1" si="0">IF(RAND()&lt;0.1,"brak",RAND()*319+52)</f>
        <v>281.4804054142254</v>
      </c>
    </row>
    <row r="6" spans="1:2">
      <c r="A6" s="27" t="s">
        <v>56</v>
      </c>
      <c r="B6" s="72">
        <f t="shared" ca="1" si="0"/>
        <v>133.19323752965812</v>
      </c>
    </row>
    <row r="7" spans="1:2">
      <c r="A7" s="27" t="s">
        <v>57</v>
      </c>
      <c r="B7" s="72">
        <f t="shared" ca="1" si="0"/>
        <v>77.050369953395034</v>
      </c>
    </row>
    <row r="8" spans="1:2">
      <c r="A8" s="27" t="s">
        <v>58</v>
      </c>
      <c r="B8" s="72">
        <f t="shared" ca="1" si="0"/>
        <v>334.80174774903867</v>
      </c>
    </row>
    <row r="9" spans="1:2">
      <c r="A9" s="27" t="s">
        <v>59</v>
      </c>
      <c r="B9" s="72">
        <f t="shared" ca="1" si="0"/>
        <v>112.56070557353512</v>
      </c>
    </row>
    <row r="10" spans="1:2">
      <c r="A10" s="27" t="s">
        <v>60</v>
      </c>
      <c r="B10" s="72">
        <f t="shared" ca="1" si="0"/>
        <v>208.26300878461669</v>
      </c>
    </row>
    <row r="11" spans="1:2">
      <c r="A11" s="27" t="s">
        <v>61</v>
      </c>
      <c r="B11" s="72">
        <f t="shared" ca="1" si="0"/>
        <v>180.77420408908361</v>
      </c>
    </row>
    <row r="12" spans="1:2">
      <c r="A12" s="27" t="s">
        <v>62</v>
      </c>
      <c r="B12" s="72">
        <f t="shared" ca="1" si="0"/>
        <v>250.43553569429793</v>
      </c>
    </row>
    <row r="13" spans="1:2">
      <c r="A13" s="27" t="s">
        <v>63</v>
      </c>
      <c r="B13" s="72">
        <f t="shared" ca="1" si="0"/>
        <v>304.59945913113535</v>
      </c>
    </row>
    <row r="14" spans="1:2">
      <c r="A14" s="27" t="s">
        <v>64</v>
      </c>
      <c r="B14" s="72" t="str">
        <f t="shared" ca="1" si="0"/>
        <v>brak</v>
      </c>
    </row>
    <row r="15" spans="1:2">
      <c r="A15" s="27" t="s">
        <v>97</v>
      </c>
      <c r="B15" s="72">
        <f t="shared" ca="1" si="0"/>
        <v>136.18664031390585</v>
      </c>
    </row>
    <row r="16" spans="1:2">
      <c r="A16" s="27" t="s">
        <v>98</v>
      </c>
      <c r="B16" s="72">
        <f t="shared" ca="1" si="0"/>
        <v>199.2039796294392</v>
      </c>
    </row>
    <row r="17" spans="1:4">
      <c r="A17" s="27" t="s">
        <v>99</v>
      </c>
      <c r="B17" s="72">
        <f t="shared" ca="1" si="0"/>
        <v>136.0811828259682</v>
      </c>
    </row>
    <row r="18" spans="1:4">
      <c r="A18" s="27" t="s">
        <v>100</v>
      </c>
      <c r="B18" s="72">
        <f t="shared" ca="1" si="0"/>
        <v>116.36873555948603</v>
      </c>
    </row>
    <row r="19" spans="1:4">
      <c r="A19" s="27" t="s">
        <v>101</v>
      </c>
      <c r="B19" s="72" t="str">
        <f t="shared" ca="1" si="0"/>
        <v>brak</v>
      </c>
    </row>
    <row r="20" spans="1:4">
      <c r="A20" s="27" t="s">
        <v>102</v>
      </c>
      <c r="B20" s="72">
        <f t="shared" ca="1" si="0"/>
        <v>69.867914066951698</v>
      </c>
    </row>
    <row r="21" spans="1:4">
      <c r="A21" s="27" t="s">
        <v>103</v>
      </c>
      <c r="B21" s="72" t="str">
        <f t="shared" ca="1" si="0"/>
        <v>brak</v>
      </c>
    </row>
    <row r="22" spans="1:4">
      <c r="A22" s="27" t="s">
        <v>104</v>
      </c>
      <c r="B22" s="72">
        <f t="shared" ca="1" si="0"/>
        <v>66.450648203696801</v>
      </c>
    </row>
    <row r="23" spans="1:4">
      <c r="A23" s="27" t="s">
        <v>105</v>
      </c>
      <c r="B23" s="72">
        <f t="shared" ca="1" si="0"/>
        <v>306.37748820913106</v>
      </c>
    </row>
    <row r="24" spans="1:4">
      <c r="A24" s="27" t="s">
        <v>106</v>
      </c>
      <c r="B24" s="72">
        <f t="shared" ca="1" si="0"/>
        <v>257.8168410736929</v>
      </c>
    </row>
    <row r="25" spans="1:4">
      <c r="A25" s="27" t="s">
        <v>107</v>
      </c>
      <c r="B25" s="72">
        <f t="shared" ca="1" si="0"/>
        <v>95.446867947265218</v>
      </c>
    </row>
    <row r="26" spans="1:4">
      <c r="A26" s="27" t="s">
        <v>108</v>
      </c>
      <c r="B26" s="72">
        <f t="shared" ca="1" si="0"/>
        <v>332.3649923709591</v>
      </c>
    </row>
    <row r="27" spans="1:4">
      <c r="A27" s="27" t="s">
        <v>109</v>
      </c>
      <c r="B27" s="72">
        <f t="shared" ca="1" si="0"/>
        <v>85.82385391946616</v>
      </c>
    </row>
    <row r="28" spans="1:4" ht="13.5" thickBot="1">
      <c r="B28" s="142"/>
    </row>
    <row r="29" spans="1:4" ht="13.5" thickBot="1">
      <c r="A29" s="25" t="s">
        <v>112</v>
      </c>
      <c r="B29" s="143">
        <f ca="1">SUM(B4:B28)</f>
        <v>3838.5389398613306</v>
      </c>
      <c r="D29" s="142">
        <f ca="1">ROUND(SUM(B4:B27),-2)</f>
        <v>3800</v>
      </c>
    </row>
  </sheetData>
  <customSheetViews>
    <customSheetView guid="{F9B480CE-077C-416E-ACF9-56227F746F4A}">
      <selection activeCell="K2" sqref="K2"/>
      <pageMargins left="0.75" right="0.75" top="1" bottom="1" header="0.5" footer="0.5"/>
      <headerFooter alignWithMargins="0"/>
    </customSheetView>
    <customSheetView guid="{3DF5E802-5CA5-43EF-BE6A-D6FCDA5F65F2}">
      <selection activeCell="B2" sqref="B2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0"/>
  </sheetPr>
  <dimension ref="A1:D29"/>
  <sheetViews>
    <sheetView workbookViewId="0">
      <selection activeCell="D29" sqref="D29"/>
    </sheetView>
  </sheetViews>
  <sheetFormatPr defaultRowHeight="12.75"/>
  <cols>
    <col min="1" max="1" width="8.28515625" style="25" bestFit="1" customWidth="1"/>
    <col min="2" max="2" width="17.140625" style="25" customWidth="1"/>
    <col min="3" max="3" width="9.140625" style="25"/>
    <col min="4" max="4" width="11.28515625" style="25" bestFit="1" customWidth="1"/>
    <col min="5" max="16384" width="9.140625" style="25"/>
  </cols>
  <sheetData>
    <row r="1" spans="1:2">
      <c r="B1" s="30"/>
    </row>
    <row r="3" spans="1:2">
      <c r="A3" s="26" t="s">
        <v>53</v>
      </c>
      <c r="B3" s="26" t="s">
        <v>111</v>
      </c>
    </row>
    <row r="4" spans="1:2">
      <c r="A4" s="27" t="s">
        <v>54</v>
      </c>
      <c r="B4" s="72">
        <f ca="1">IF(RAND()&lt;0.1,"brak",RAND()*419+62)</f>
        <v>371.1992929803979</v>
      </c>
    </row>
    <row r="5" spans="1:2">
      <c r="A5" s="27" t="s">
        <v>55</v>
      </c>
      <c r="B5" s="72">
        <f t="shared" ref="B5:B27" ca="1" si="0">IF(RAND()&lt;0.1,"brak",RAND()*419+62)</f>
        <v>315.31353200527064</v>
      </c>
    </row>
    <row r="6" spans="1:2">
      <c r="A6" s="27" t="s">
        <v>56</v>
      </c>
      <c r="B6" s="72">
        <f t="shared" ca="1" si="0"/>
        <v>401.33907681312246</v>
      </c>
    </row>
    <row r="7" spans="1:2">
      <c r="A7" s="27" t="s">
        <v>57</v>
      </c>
      <c r="B7" s="72">
        <f t="shared" ca="1" si="0"/>
        <v>161.53736746513971</v>
      </c>
    </row>
    <row r="8" spans="1:2">
      <c r="A8" s="27" t="s">
        <v>58</v>
      </c>
      <c r="B8" s="72">
        <f t="shared" ca="1" si="0"/>
        <v>194.85554116195095</v>
      </c>
    </row>
    <row r="9" spans="1:2">
      <c r="A9" s="27" t="s">
        <v>59</v>
      </c>
      <c r="B9" s="72">
        <f t="shared" ca="1" si="0"/>
        <v>235.17782139005803</v>
      </c>
    </row>
    <row r="10" spans="1:2">
      <c r="A10" s="27" t="s">
        <v>60</v>
      </c>
      <c r="B10" s="72" t="str">
        <f t="shared" ca="1" si="0"/>
        <v>brak</v>
      </c>
    </row>
    <row r="11" spans="1:2">
      <c r="A11" s="27" t="s">
        <v>61</v>
      </c>
      <c r="B11" s="72">
        <f t="shared" ca="1" si="0"/>
        <v>188.95186634053391</v>
      </c>
    </row>
    <row r="12" spans="1:2">
      <c r="A12" s="27" t="s">
        <v>62</v>
      </c>
      <c r="B12" s="72">
        <f t="shared" ca="1" si="0"/>
        <v>187.82941579634274</v>
      </c>
    </row>
    <row r="13" spans="1:2">
      <c r="A13" s="27" t="s">
        <v>63</v>
      </c>
      <c r="B13" s="72" t="str">
        <f t="shared" ca="1" si="0"/>
        <v>brak</v>
      </c>
    </row>
    <row r="14" spans="1:2">
      <c r="A14" s="27" t="s">
        <v>64</v>
      </c>
      <c r="B14" s="72">
        <f t="shared" ca="1" si="0"/>
        <v>470.30735791590109</v>
      </c>
    </row>
    <row r="15" spans="1:2">
      <c r="A15" s="27" t="s">
        <v>97</v>
      </c>
      <c r="B15" s="72">
        <f t="shared" ca="1" si="0"/>
        <v>115.54286081203614</v>
      </c>
    </row>
    <row r="16" spans="1:2">
      <c r="A16" s="27" t="s">
        <v>98</v>
      </c>
      <c r="B16" s="72">
        <f t="shared" ca="1" si="0"/>
        <v>123.49723874297055</v>
      </c>
    </row>
    <row r="17" spans="1:4">
      <c r="A17" s="27" t="s">
        <v>99</v>
      </c>
      <c r="B17" s="72">
        <f t="shared" ca="1" si="0"/>
        <v>411.51701959530391</v>
      </c>
    </row>
    <row r="18" spans="1:4">
      <c r="A18" s="27" t="s">
        <v>100</v>
      </c>
      <c r="B18" s="72">
        <f t="shared" ca="1" si="0"/>
        <v>124.36954648116489</v>
      </c>
    </row>
    <row r="19" spans="1:4">
      <c r="A19" s="27" t="s">
        <v>101</v>
      </c>
      <c r="B19" s="72">
        <f t="shared" ca="1" si="0"/>
        <v>278.92563946670316</v>
      </c>
    </row>
    <row r="20" spans="1:4">
      <c r="A20" s="27" t="s">
        <v>102</v>
      </c>
      <c r="B20" s="72">
        <f t="shared" ca="1" si="0"/>
        <v>155.52056020763155</v>
      </c>
    </row>
    <row r="21" spans="1:4">
      <c r="A21" s="27" t="s">
        <v>103</v>
      </c>
      <c r="B21" s="72">
        <f t="shared" ca="1" si="0"/>
        <v>375.7565731556432</v>
      </c>
    </row>
    <row r="22" spans="1:4">
      <c r="A22" s="27" t="s">
        <v>104</v>
      </c>
      <c r="B22" s="72">
        <f t="shared" ca="1" si="0"/>
        <v>398.44759445360876</v>
      </c>
    </row>
    <row r="23" spans="1:4">
      <c r="A23" s="27" t="s">
        <v>105</v>
      </c>
      <c r="B23" s="72">
        <f t="shared" ca="1" si="0"/>
        <v>268.14408995092288</v>
      </c>
    </row>
    <row r="24" spans="1:4">
      <c r="A24" s="27" t="s">
        <v>106</v>
      </c>
      <c r="B24" s="72">
        <f t="shared" ca="1" si="0"/>
        <v>390.34330072370346</v>
      </c>
    </row>
    <row r="25" spans="1:4">
      <c r="A25" s="27" t="s">
        <v>107</v>
      </c>
      <c r="B25" s="72">
        <f t="shared" ca="1" si="0"/>
        <v>99.117791061533083</v>
      </c>
    </row>
    <row r="26" spans="1:4">
      <c r="A26" s="27" t="s">
        <v>108</v>
      </c>
      <c r="B26" s="72">
        <f t="shared" ca="1" si="0"/>
        <v>426.61348911093887</v>
      </c>
    </row>
    <row r="27" spans="1:4">
      <c r="A27" s="27" t="s">
        <v>109</v>
      </c>
      <c r="B27" s="72">
        <f t="shared" ca="1" si="0"/>
        <v>379.82321039635229</v>
      </c>
    </row>
    <row r="28" spans="1:4" ht="13.5" thickBot="1"/>
    <row r="29" spans="1:4" ht="13.5" thickBot="1">
      <c r="A29" s="25" t="s">
        <v>112</v>
      </c>
      <c r="B29" s="143">
        <f ca="1">SUM(B5:B27)</f>
        <v>5702.9308930468314</v>
      </c>
      <c r="D29" s="142">
        <f ca="1">ROUND(SUM(B4:B27),-2)</f>
        <v>6100</v>
      </c>
    </row>
  </sheetData>
  <customSheetViews>
    <customSheetView guid="{F9B480CE-077C-416E-ACF9-56227F746F4A}">
      <selection activeCell="E29" sqref="E29"/>
      <pageMargins left="0.75" right="0.75" top="1" bottom="1" header="0.5" footer="0.5"/>
      <headerFooter alignWithMargins="0"/>
    </customSheetView>
    <customSheetView guid="{3DF5E802-5CA5-43EF-BE6A-D6FCDA5F65F2}">
      <selection activeCell="E29" sqref="E29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0"/>
  </sheetPr>
  <dimension ref="A1:D29"/>
  <sheetViews>
    <sheetView workbookViewId="0">
      <selection activeCell="D29" sqref="D29"/>
    </sheetView>
  </sheetViews>
  <sheetFormatPr defaultRowHeight="12.75"/>
  <cols>
    <col min="1" max="1" width="8.28515625" style="25" bestFit="1" customWidth="1"/>
    <col min="2" max="2" width="23.42578125" style="25" bestFit="1" customWidth="1"/>
    <col min="3" max="3" width="9.140625" style="25"/>
    <col min="4" max="4" width="9.7109375" style="25" bestFit="1" customWidth="1"/>
    <col min="5" max="16384" width="9.140625" style="25"/>
  </cols>
  <sheetData>
    <row r="1" spans="1:2">
      <c r="B1" s="30"/>
    </row>
    <row r="3" spans="1:2">
      <c r="A3" s="26" t="s">
        <v>53</v>
      </c>
      <c r="B3" s="26" t="s">
        <v>113</v>
      </c>
    </row>
    <row r="4" spans="1:2">
      <c r="A4" s="27" t="s">
        <v>54</v>
      </c>
      <c r="B4" s="74">
        <f ca="1">IF(RAND()&lt;0.1,"nb",RAND()*5.7+0.51)</f>
        <v>3.1481137953380642</v>
      </c>
    </row>
    <row r="5" spans="1:2">
      <c r="A5" s="27" t="s">
        <v>55</v>
      </c>
      <c r="B5" s="74" t="str">
        <f t="shared" ref="B5:B27" ca="1" si="0">IF(RAND()&lt;0.1,"nb",RAND()*5.7+0.51)</f>
        <v>nb</v>
      </c>
    </row>
    <row r="6" spans="1:2">
      <c r="A6" s="27" t="s">
        <v>56</v>
      </c>
      <c r="B6" s="74">
        <f t="shared" ca="1" si="0"/>
        <v>3.2608659295871547</v>
      </c>
    </row>
    <row r="7" spans="1:2">
      <c r="A7" s="27" t="s">
        <v>57</v>
      </c>
      <c r="B7" s="74">
        <f t="shared" ca="1" si="0"/>
        <v>4.528439075422054</v>
      </c>
    </row>
    <row r="8" spans="1:2">
      <c r="A8" s="27" t="s">
        <v>58</v>
      </c>
      <c r="B8" s="74">
        <f t="shared" ca="1" si="0"/>
        <v>5.3867752080311515</v>
      </c>
    </row>
    <row r="9" spans="1:2">
      <c r="A9" s="27" t="s">
        <v>59</v>
      </c>
      <c r="B9" s="74">
        <f t="shared" ca="1" si="0"/>
        <v>4.5921058499383829</v>
      </c>
    </row>
    <row r="10" spans="1:2">
      <c r="A10" s="27" t="s">
        <v>60</v>
      </c>
      <c r="B10" s="74">
        <f t="shared" ca="1" si="0"/>
        <v>3.0152988383294517</v>
      </c>
    </row>
    <row r="11" spans="1:2">
      <c r="A11" s="27" t="s">
        <v>61</v>
      </c>
      <c r="B11" s="74">
        <f t="shared" ca="1" si="0"/>
        <v>3.0608169191463714</v>
      </c>
    </row>
    <row r="12" spans="1:2">
      <c r="A12" s="27" t="s">
        <v>62</v>
      </c>
      <c r="B12" s="74">
        <f t="shared" ca="1" si="0"/>
        <v>2.2733651209021133</v>
      </c>
    </row>
    <row r="13" spans="1:2">
      <c r="A13" s="27" t="s">
        <v>63</v>
      </c>
      <c r="B13" s="74">
        <f t="shared" ca="1" si="0"/>
        <v>4.3641252592878317</v>
      </c>
    </row>
    <row r="14" spans="1:2">
      <c r="A14" s="27" t="s">
        <v>64</v>
      </c>
      <c r="B14" s="74">
        <f t="shared" ca="1" si="0"/>
        <v>2.5484943800882478</v>
      </c>
    </row>
    <row r="15" spans="1:2">
      <c r="A15" s="27" t="s">
        <v>97</v>
      </c>
      <c r="B15" s="74">
        <f t="shared" ca="1" si="0"/>
        <v>5.6394296834606656</v>
      </c>
    </row>
    <row r="16" spans="1:2">
      <c r="A16" s="27" t="s">
        <v>98</v>
      </c>
      <c r="B16" s="74">
        <f t="shared" ca="1" si="0"/>
        <v>5.0742196734144347</v>
      </c>
    </row>
    <row r="17" spans="1:4">
      <c r="A17" s="27" t="s">
        <v>99</v>
      </c>
      <c r="B17" s="74">
        <f t="shared" ca="1" si="0"/>
        <v>3.6803356520030706</v>
      </c>
    </row>
    <row r="18" spans="1:4">
      <c r="A18" s="27" t="s">
        <v>100</v>
      </c>
      <c r="B18" s="74">
        <f t="shared" ca="1" si="0"/>
        <v>2.3317308684069888</v>
      </c>
    </row>
    <row r="19" spans="1:4">
      <c r="A19" s="27" t="s">
        <v>101</v>
      </c>
      <c r="B19" s="74" t="str">
        <f t="shared" ca="1" si="0"/>
        <v>nb</v>
      </c>
    </row>
    <row r="20" spans="1:4">
      <c r="A20" s="27" t="s">
        <v>102</v>
      </c>
      <c r="B20" s="74">
        <f t="shared" ca="1" si="0"/>
        <v>4.0154154252212422</v>
      </c>
    </row>
    <row r="21" spans="1:4">
      <c r="A21" s="27" t="s">
        <v>103</v>
      </c>
      <c r="B21" s="74" t="str">
        <f t="shared" ca="1" si="0"/>
        <v>nb</v>
      </c>
    </row>
    <row r="22" spans="1:4">
      <c r="A22" s="27" t="s">
        <v>104</v>
      </c>
      <c r="B22" s="74">
        <f t="shared" ca="1" si="0"/>
        <v>6.1391109781626536</v>
      </c>
    </row>
    <row r="23" spans="1:4">
      <c r="A23" s="27" t="s">
        <v>105</v>
      </c>
      <c r="B23" s="74">
        <f t="shared" ca="1" si="0"/>
        <v>5.4641955215982971</v>
      </c>
    </row>
    <row r="24" spans="1:4">
      <c r="A24" s="27" t="s">
        <v>106</v>
      </c>
      <c r="B24" s="74">
        <f t="shared" ca="1" si="0"/>
        <v>1.0999433326473651</v>
      </c>
    </row>
    <row r="25" spans="1:4">
      <c r="A25" s="27" t="s">
        <v>107</v>
      </c>
      <c r="B25" s="74">
        <f t="shared" ca="1" si="0"/>
        <v>5.0052877735725474</v>
      </c>
    </row>
    <row r="26" spans="1:4">
      <c r="A26" s="27" t="s">
        <v>108</v>
      </c>
      <c r="B26" s="74">
        <f t="shared" ca="1" si="0"/>
        <v>5.0416338981951165</v>
      </c>
    </row>
    <row r="27" spans="1:4">
      <c r="A27" s="27" t="s">
        <v>109</v>
      </c>
      <c r="B27" s="74">
        <f t="shared" ca="1" si="0"/>
        <v>1.4472892429372317</v>
      </c>
    </row>
    <row r="28" spans="1:4" ht="13.5" thickBot="1"/>
    <row r="29" spans="1:4" ht="13.5" thickBot="1">
      <c r="A29" s="25" t="s">
        <v>9</v>
      </c>
      <c r="B29" s="73">
        <f ca="1">AVERAGE(B3:B27)</f>
        <v>3.862713925032879</v>
      </c>
      <c r="D29" s="144"/>
    </row>
  </sheetData>
  <customSheetViews>
    <customSheetView guid="{F9B480CE-077C-416E-ACF9-56227F746F4A}">
      <selection activeCell="E33" sqref="E33"/>
      <pageMargins left="0.75" right="0.75" top="1" bottom="1" header="0.5" footer="0.5"/>
      <headerFooter alignWithMargins="0"/>
    </customSheetView>
    <customSheetView guid="{3DF5E802-5CA5-43EF-BE6A-D6FCDA5F65F2}">
      <selection activeCell="E33" sqref="E3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workbookViewId="0">
      <selection activeCell="F28" sqref="F28"/>
    </sheetView>
  </sheetViews>
  <sheetFormatPr defaultRowHeight="12.75"/>
  <cols>
    <col min="1" max="1" width="11" style="2" bestFit="1" customWidth="1"/>
    <col min="2" max="2" width="16.42578125" style="2" customWidth="1"/>
    <col min="3" max="3" width="11.5703125" style="2" customWidth="1"/>
    <col min="4" max="16384" width="9.140625" style="2"/>
  </cols>
  <sheetData>
    <row r="1" spans="1:3" ht="18">
      <c r="A1" s="6"/>
      <c r="B1" s="8" t="s">
        <v>10</v>
      </c>
    </row>
    <row r="2" spans="1:3" ht="18">
      <c r="A2" s="6"/>
      <c r="B2" s="9">
        <f ca="1">ROUND(RAND()*0.2+0.1,2)</f>
        <v>0.13</v>
      </c>
    </row>
    <row r="3" spans="1:3">
      <c r="A3" s="6"/>
      <c r="B3" s="7"/>
    </row>
    <row r="4" spans="1:3">
      <c r="A4" s="6"/>
      <c r="B4" s="7"/>
    </row>
    <row r="5" spans="1:3">
      <c r="A5" s="6"/>
      <c r="B5" s="7"/>
    </row>
    <row r="9" spans="1:3" ht="13.5" thickBot="1">
      <c r="A9" s="94" t="s">
        <v>274</v>
      </c>
      <c r="B9" s="94" t="s">
        <v>275</v>
      </c>
      <c r="C9" s="131" t="s">
        <v>276</v>
      </c>
    </row>
    <row r="10" spans="1:3" ht="13.5" thickBot="1">
      <c r="A10" s="3">
        <v>1023652135</v>
      </c>
      <c r="B10" s="10">
        <f ca="1">ROUND(RAND()*400+20,0)</f>
        <v>140</v>
      </c>
      <c r="C10" s="5">
        <f ca="1">(B10*$B$2)</f>
        <v>18.2</v>
      </c>
    </row>
    <row r="11" spans="1:3" ht="13.5" thickBot="1">
      <c r="A11" s="3">
        <f>A10+13</f>
        <v>1023652148</v>
      </c>
      <c r="B11" s="10">
        <f t="shared" ref="B11:B74" ca="1" si="0">ROUND(RAND()*400+20,0)</f>
        <v>332</v>
      </c>
      <c r="C11" s="5">
        <f t="shared" ref="C11:C74" ca="1" si="1">(B11*$B$2)</f>
        <v>43.160000000000004</v>
      </c>
    </row>
    <row r="12" spans="1:3" ht="13.5" thickBot="1">
      <c r="A12" s="3">
        <v>1023652136</v>
      </c>
      <c r="B12" s="10">
        <f t="shared" ca="1" si="0"/>
        <v>307</v>
      </c>
      <c r="C12" s="5">
        <f t="shared" ca="1" si="1"/>
        <v>39.910000000000004</v>
      </c>
    </row>
    <row r="13" spans="1:3" ht="13.5" thickBot="1">
      <c r="A13" s="3">
        <f>A12+13</f>
        <v>1023652149</v>
      </c>
      <c r="B13" s="10">
        <f t="shared" ca="1" si="0"/>
        <v>264</v>
      </c>
      <c r="C13" s="5">
        <f t="shared" ca="1" si="1"/>
        <v>34.32</v>
      </c>
    </row>
    <row r="14" spans="1:3" ht="13.5" thickBot="1">
      <c r="A14" s="3">
        <v>1023652137</v>
      </c>
      <c r="B14" s="10">
        <f t="shared" ca="1" si="0"/>
        <v>79</v>
      </c>
      <c r="C14" s="5">
        <f t="shared" ca="1" si="1"/>
        <v>10.27</v>
      </c>
    </row>
    <row r="15" spans="1:3" ht="13.5" thickBot="1">
      <c r="A15" s="3">
        <f>A14+13</f>
        <v>1023652150</v>
      </c>
      <c r="B15" s="10">
        <f t="shared" ca="1" si="0"/>
        <v>133</v>
      </c>
      <c r="C15" s="5">
        <f t="shared" ca="1" si="1"/>
        <v>17.29</v>
      </c>
    </row>
    <row r="16" spans="1:3" ht="13.5" thickBot="1">
      <c r="A16" s="3">
        <v>1023652138</v>
      </c>
      <c r="B16" s="10">
        <f t="shared" ca="1" si="0"/>
        <v>191</v>
      </c>
      <c r="C16" s="5">
        <f t="shared" ca="1" si="1"/>
        <v>24.830000000000002</v>
      </c>
    </row>
    <row r="17" spans="1:3" ht="13.5" thickBot="1">
      <c r="A17" s="3">
        <f>A16+13</f>
        <v>1023652151</v>
      </c>
      <c r="B17" s="10">
        <f t="shared" ca="1" si="0"/>
        <v>89</v>
      </c>
      <c r="C17" s="5">
        <f t="shared" ca="1" si="1"/>
        <v>11.57</v>
      </c>
    </row>
    <row r="18" spans="1:3" ht="13.5" thickBot="1">
      <c r="A18" s="3">
        <v>1023652139</v>
      </c>
      <c r="B18" s="10">
        <f t="shared" ca="1" si="0"/>
        <v>149</v>
      </c>
      <c r="C18" s="5">
        <f t="shared" ca="1" si="1"/>
        <v>19.37</v>
      </c>
    </row>
    <row r="19" spans="1:3" ht="13.5" thickBot="1">
      <c r="A19" s="3">
        <f>A18+13</f>
        <v>1023652152</v>
      </c>
      <c r="B19" s="10">
        <f t="shared" ca="1" si="0"/>
        <v>379</v>
      </c>
      <c r="C19" s="5">
        <f t="shared" ca="1" si="1"/>
        <v>49.27</v>
      </c>
    </row>
    <row r="20" spans="1:3" ht="13.5" thickBot="1">
      <c r="A20" s="3">
        <v>1023652140</v>
      </c>
      <c r="B20" s="10">
        <f t="shared" ca="1" si="0"/>
        <v>202</v>
      </c>
      <c r="C20" s="5">
        <f t="shared" ca="1" si="1"/>
        <v>26.26</v>
      </c>
    </row>
    <row r="21" spans="1:3" ht="13.5" thickBot="1">
      <c r="A21" s="3">
        <f>A20+13</f>
        <v>1023652153</v>
      </c>
      <c r="B21" s="10">
        <f t="shared" ca="1" si="0"/>
        <v>384</v>
      </c>
      <c r="C21" s="5">
        <f t="shared" ca="1" si="1"/>
        <v>49.92</v>
      </c>
    </row>
    <row r="22" spans="1:3" ht="13.5" thickBot="1">
      <c r="A22" s="3">
        <v>1023652141</v>
      </c>
      <c r="B22" s="10">
        <f t="shared" ca="1" si="0"/>
        <v>76</v>
      </c>
      <c r="C22" s="5">
        <f t="shared" ca="1" si="1"/>
        <v>9.8800000000000008</v>
      </c>
    </row>
    <row r="23" spans="1:3" ht="13.5" thickBot="1">
      <c r="A23" s="3">
        <f>A22+13</f>
        <v>1023652154</v>
      </c>
      <c r="B23" s="10">
        <f t="shared" ca="1" si="0"/>
        <v>243</v>
      </c>
      <c r="C23" s="5">
        <f t="shared" ca="1" si="1"/>
        <v>31.59</v>
      </c>
    </row>
    <row r="24" spans="1:3" ht="13.5" thickBot="1">
      <c r="A24" s="3">
        <v>1023652142</v>
      </c>
      <c r="B24" s="10">
        <f t="shared" ca="1" si="0"/>
        <v>282</v>
      </c>
      <c r="C24" s="5">
        <f t="shared" ca="1" si="1"/>
        <v>36.660000000000004</v>
      </c>
    </row>
    <row r="25" spans="1:3" ht="13.5" thickBot="1">
      <c r="A25" s="3">
        <f>A24+13</f>
        <v>1023652155</v>
      </c>
      <c r="B25" s="10">
        <f t="shared" ca="1" si="0"/>
        <v>140</v>
      </c>
      <c r="C25" s="5">
        <f t="shared" ca="1" si="1"/>
        <v>18.2</v>
      </c>
    </row>
    <row r="26" spans="1:3" ht="13.5" thickBot="1">
      <c r="A26" s="3">
        <v>1023652143</v>
      </c>
      <c r="B26" s="10">
        <f t="shared" ca="1" si="0"/>
        <v>328</v>
      </c>
      <c r="C26" s="5">
        <f t="shared" ca="1" si="1"/>
        <v>42.64</v>
      </c>
    </row>
    <row r="27" spans="1:3" ht="13.5" thickBot="1">
      <c r="A27" s="3">
        <f>A26+13</f>
        <v>1023652156</v>
      </c>
      <c r="B27" s="10">
        <f t="shared" ca="1" si="0"/>
        <v>100</v>
      </c>
      <c r="C27" s="5">
        <f t="shared" ca="1" si="1"/>
        <v>13</v>
      </c>
    </row>
    <row r="28" spans="1:3" ht="13.5" thickBot="1">
      <c r="A28" s="3">
        <v>1023652144</v>
      </c>
      <c r="B28" s="10">
        <f t="shared" ca="1" si="0"/>
        <v>93</v>
      </c>
      <c r="C28" s="5">
        <f t="shared" ca="1" si="1"/>
        <v>12.09</v>
      </c>
    </row>
    <row r="29" spans="1:3" ht="13.5" thickBot="1">
      <c r="A29" s="3">
        <f>A28+13</f>
        <v>1023652157</v>
      </c>
      <c r="B29" s="10">
        <f t="shared" ca="1" si="0"/>
        <v>89</v>
      </c>
      <c r="C29" s="5">
        <f t="shared" ca="1" si="1"/>
        <v>11.57</v>
      </c>
    </row>
    <row r="30" spans="1:3" ht="13.5" thickBot="1">
      <c r="A30" s="3">
        <v>1023652145</v>
      </c>
      <c r="B30" s="10">
        <f t="shared" ca="1" si="0"/>
        <v>334</v>
      </c>
      <c r="C30" s="5">
        <f t="shared" ca="1" si="1"/>
        <v>43.42</v>
      </c>
    </row>
    <row r="31" spans="1:3" ht="13.5" thickBot="1">
      <c r="A31" s="3">
        <f>A30+13</f>
        <v>1023652158</v>
      </c>
      <c r="B31" s="10">
        <f t="shared" ca="1" si="0"/>
        <v>88</v>
      </c>
      <c r="C31" s="5">
        <f t="shared" ca="1" si="1"/>
        <v>11.440000000000001</v>
      </c>
    </row>
    <row r="32" spans="1:3" ht="13.5" thickBot="1">
      <c r="A32" s="3">
        <v>1023652146</v>
      </c>
      <c r="B32" s="10">
        <f t="shared" ca="1" si="0"/>
        <v>363</v>
      </c>
      <c r="C32" s="5">
        <f t="shared" ca="1" si="1"/>
        <v>47.190000000000005</v>
      </c>
    </row>
    <row r="33" spans="1:3" ht="13.5" thickBot="1">
      <c r="A33" s="3">
        <f>A32+13</f>
        <v>1023652159</v>
      </c>
      <c r="B33" s="10">
        <f t="shared" ca="1" si="0"/>
        <v>47</v>
      </c>
      <c r="C33" s="5">
        <f t="shared" ca="1" si="1"/>
        <v>6.11</v>
      </c>
    </row>
    <row r="34" spans="1:3" ht="13.5" thickBot="1">
      <c r="A34" s="3">
        <v>1023652147</v>
      </c>
      <c r="B34" s="10">
        <f t="shared" ca="1" si="0"/>
        <v>55</v>
      </c>
      <c r="C34" s="5">
        <f t="shared" ca="1" si="1"/>
        <v>7.15</v>
      </c>
    </row>
    <row r="35" spans="1:3" ht="13.5" thickBot="1">
      <c r="A35" s="3">
        <f>A34+13</f>
        <v>1023652160</v>
      </c>
      <c r="B35" s="10">
        <f t="shared" ca="1" si="0"/>
        <v>108</v>
      </c>
      <c r="C35" s="5">
        <f t="shared" ca="1" si="1"/>
        <v>14.040000000000001</v>
      </c>
    </row>
    <row r="36" spans="1:3" ht="13.5" thickBot="1">
      <c r="A36" s="3">
        <v>1023652148</v>
      </c>
      <c r="B36" s="10">
        <f t="shared" ca="1" si="0"/>
        <v>27</v>
      </c>
      <c r="C36" s="5">
        <f t="shared" ca="1" si="1"/>
        <v>3.5100000000000002</v>
      </c>
    </row>
    <row r="37" spans="1:3" ht="13.5" thickBot="1">
      <c r="A37" s="3">
        <f>A36+13</f>
        <v>1023652161</v>
      </c>
      <c r="B37" s="10">
        <f t="shared" ca="1" si="0"/>
        <v>240</v>
      </c>
      <c r="C37" s="5">
        <f t="shared" ca="1" si="1"/>
        <v>31.200000000000003</v>
      </c>
    </row>
    <row r="38" spans="1:3" ht="13.5" thickBot="1">
      <c r="A38" s="3">
        <v>1023652149</v>
      </c>
      <c r="B38" s="10">
        <f t="shared" ca="1" si="0"/>
        <v>297</v>
      </c>
      <c r="C38" s="5">
        <f t="shared" ca="1" si="1"/>
        <v>38.61</v>
      </c>
    </row>
    <row r="39" spans="1:3" ht="13.5" thickBot="1">
      <c r="A39" s="3">
        <f>A38+13</f>
        <v>1023652162</v>
      </c>
      <c r="B39" s="10">
        <f t="shared" ca="1" si="0"/>
        <v>312</v>
      </c>
      <c r="C39" s="5">
        <f t="shared" ca="1" si="1"/>
        <v>40.56</v>
      </c>
    </row>
    <row r="40" spans="1:3" ht="13.5" thickBot="1">
      <c r="A40" s="3">
        <v>1023652150</v>
      </c>
      <c r="B40" s="10">
        <f t="shared" ca="1" si="0"/>
        <v>361</v>
      </c>
      <c r="C40" s="5">
        <f t="shared" ca="1" si="1"/>
        <v>46.93</v>
      </c>
    </row>
    <row r="41" spans="1:3" ht="13.5" thickBot="1">
      <c r="A41" s="3">
        <f>A40+13</f>
        <v>1023652163</v>
      </c>
      <c r="B41" s="10">
        <f t="shared" ca="1" si="0"/>
        <v>273</v>
      </c>
      <c r="C41" s="5">
        <f t="shared" ca="1" si="1"/>
        <v>35.49</v>
      </c>
    </row>
    <row r="42" spans="1:3" ht="13.5" thickBot="1">
      <c r="A42" s="3">
        <v>1023652151</v>
      </c>
      <c r="B42" s="10">
        <f t="shared" ca="1" si="0"/>
        <v>130</v>
      </c>
      <c r="C42" s="5">
        <f t="shared" ca="1" si="1"/>
        <v>16.900000000000002</v>
      </c>
    </row>
    <row r="43" spans="1:3" ht="13.5" thickBot="1">
      <c r="A43" s="3">
        <f>A42+13</f>
        <v>1023652164</v>
      </c>
      <c r="B43" s="10">
        <f t="shared" ca="1" si="0"/>
        <v>261</v>
      </c>
      <c r="C43" s="5">
        <f t="shared" ca="1" si="1"/>
        <v>33.93</v>
      </c>
    </row>
    <row r="44" spans="1:3" ht="13.5" thickBot="1">
      <c r="A44" s="3">
        <v>1023652152</v>
      </c>
      <c r="B44" s="10">
        <f t="shared" ca="1" si="0"/>
        <v>131</v>
      </c>
      <c r="C44" s="5">
        <f t="shared" ca="1" si="1"/>
        <v>17.03</v>
      </c>
    </row>
    <row r="45" spans="1:3" ht="13.5" thickBot="1">
      <c r="A45" s="3">
        <f>A44+13</f>
        <v>1023652165</v>
      </c>
      <c r="B45" s="10">
        <f t="shared" ca="1" si="0"/>
        <v>365</v>
      </c>
      <c r="C45" s="5">
        <f t="shared" ca="1" si="1"/>
        <v>47.45</v>
      </c>
    </row>
    <row r="46" spans="1:3" ht="13.5" thickBot="1">
      <c r="A46" s="3">
        <v>1023652153</v>
      </c>
      <c r="B46" s="10">
        <f t="shared" ca="1" si="0"/>
        <v>275</v>
      </c>
      <c r="C46" s="5">
        <f t="shared" ca="1" si="1"/>
        <v>35.75</v>
      </c>
    </row>
    <row r="47" spans="1:3" ht="13.5" thickBot="1">
      <c r="A47" s="3">
        <f>A46+13</f>
        <v>1023652166</v>
      </c>
      <c r="B47" s="10">
        <f t="shared" ca="1" si="0"/>
        <v>333</v>
      </c>
      <c r="C47" s="5">
        <f t="shared" ca="1" si="1"/>
        <v>43.29</v>
      </c>
    </row>
    <row r="48" spans="1:3" ht="13.5" thickBot="1">
      <c r="A48" s="3">
        <v>1023652154</v>
      </c>
      <c r="B48" s="10">
        <f t="shared" ca="1" si="0"/>
        <v>258</v>
      </c>
      <c r="C48" s="5">
        <f t="shared" ca="1" si="1"/>
        <v>33.54</v>
      </c>
    </row>
    <row r="49" spans="1:3" ht="13.5" thickBot="1">
      <c r="A49" s="3">
        <f>A48+13</f>
        <v>1023652167</v>
      </c>
      <c r="B49" s="10">
        <f t="shared" ca="1" si="0"/>
        <v>201</v>
      </c>
      <c r="C49" s="5">
        <f t="shared" ca="1" si="1"/>
        <v>26.130000000000003</v>
      </c>
    </row>
    <row r="50" spans="1:3" ht="13.5" thickBot="1">
      <c r="A50" s="3">
        <v>1023652155</v>
      </c>
      <c r="B50" s="10">
        <f t="shared" ca="1" si="0"/>
        <v>224</v>
      </c>
      <c r="C50" s="5">
        <f t="shared" ca="1" si="1"/>
        <v>29.12</v>
      </c>
    </row>
    <row r="51" spans="1:3" ht="13.5" thickBot="1">
      <c r="A51" s="3">
        <f>A50+13</f>
        <v>1023652168</v>
      </c>
      <c r="B51" s="10">
        <f t="shared" ca="1" si="0"/>
        <v>231</v>
      </c>
      <c r="C51" s="5">
        <f t="shared" ca="1" si="1"/>
        <v>30.03</v>
      </c>
    </row>
    <row r="52" spans="1:3" ht="13.5" thickBot="1">
      <c r="A52" s="3">
        <v>1023652156</v>
      </c>
      <c r="B52" s="10">
        <f t="shared" ca="1" si="0"/>
        <v>37</v>
      </c>
      <c r="C52" s="5">
        <f t="shared" ca="1" si="1"/>
        <v>4.8100000000000005</v>
      </c>
    </row>
    <row r="53" spans="1:3" ht="13.5" thickBot="1">
      <c r="A53" s="3">
        <f>A52+13</f>
        <v>1023652169</v>
      </c>
      <c r="B53" s="10">
        <f t="shared" ca="1" si="0"/>
        <v>359</v>
      </c>
      <c r="C53" s="5">
        <f t="shared" ca="1" si="1"/>
        <v>46.67</v>
      </c>
    </row>
    <row r="54" spans="1:3" ht="13.5" thickBot="1">
      <c r="A54" s="3">
        <v>1023652157</v>
      </c>
      <c r="B54" s="10">
        <f t="shared" ca="1" si="0"/>
        <v>250</v>
      </c>
      <c r="C54" s="5">
        <f t="shared" ca="1" si="1"/>
        <v>32.5</v>
      </c>
    </row>
    <row r="55" spans="1:3" ht="13.5" thickBot="1">
      <c r="A55" s="3">
        <f>A54+13</f>
        <v>1023652170</v>
      </c>
      <c r="B55" s="10">
        <f t="shared" ca="1" si="0"/>
        <v>257</v>
      </c>
      <c r="C55" s="5">
        <f t="shared" ca="1" si="1"/>
        <v>33.410000000000004</v>
      </c>
    </row>
    <row r="56" spans="1:3" ht="13.5" thickBot="1">
      <c r="A56" s="3">
        <v>1023652158</v>
      </c>
      <c r="B56" s="10">
        <f t="shared" ca="1" si="0"/>
        <v>290</v>
      </c>
      <c r="C56" s="5">
        <f t="shared" ca="1" si="1"/>
        <v>37.700000000000003</v>
      </c>
    </row>
    <row r="57" spans="1:3" ht="13.5" thickBot="1">
      <c r="A57" s="3">
        <f>A56+13</f>
        <v>1023652171</v>
      </c>
      <c r="B57" s="10">
        <f t="shared" ca="1" si="0"/>
        <v>147</v>
      </c>
      <c r="C57" s="5">
        <f t="shared" ca="1" si="1"/>
        <v>19.11</v>
      </c>
    </row>
    <row r="58" spans="1:3" ht="13.5" thickBot="1">
      <c r="A58" s="3">
        <v>1023652159</v>
      </c>
      <c r="B58" s="10">
        <f t="shared" ca="1" si="0"/>
        <v>106</v>
      </c>
      <c r="C58" s="5">
        <f t="shared" ca="1" si="1"/>
        <v>13.780000000000001</v>
      </c>
    </row>
    <row r="59" spans="1:3" ht="13.5" thickBot="1">
      <c r="A59" s="3">
        <f>A58+13</f>
        <v>1023652172</v>
      </c>
      <c r="B59" s="10">
        <f t="shared" ca="1" si="0"/>
        <v>371</v>
      </c>
      <c r="C59" s="5">
        <f t="shared" ca="1" si="1"/>
        <v>48.230000000000004</v>
      </c>
    </row>
    <row r="60" spans="1:3" ht="13.5" thickBot="1">
      <c r="A60" s="3">
        <v>1023652160</v>
      </c>
      <c r="B60" s="10">
        <f t="shared" ca="1" si="0"/>
        <v>152</v>
      </c>
      <c r="C60" s="5">
        <f t="shared" ca="1" si="1"/>
        <v>19.760000000000002</v>
      </c>
    </row>
    <row r="61" spans="1:3" ht="13.5" thickBot="1">
      <c r="A61" s="3">
        <f>A60+13</f>
        <v>1023652173</v>
      </c>
      <c r="B61" s="10">
        <f t="shared" ca="1" si="0"/>
        <v>167</v>
      </c>
      <c r="C61" s="5">
        <f t="shared" ca="1" si="1"/>
        <v>21.71</v>
      </c>
    </row>
    <row r="62" spans="1:3" ht="13.5" thickBot="1">
      <c r="A62" s="3">
        <v>1023652161</v>
      </c>
      <c r="B62" s="10">
        <f t="shared" ca="1" si="0"/>
        <v>65</v>
      </c>
      <c r="C62" s="5">
        <f t="shared" ca="1" si="1"/>
        <v>8.4500000000000011</v>
      </c>
    </row>
    <row r="63" spans="1:3" ht="13.5" thickBot="1">
      <c r="A63" s="3">
        <f>A62+13</f>
        <v>1023652174</v>
      </c>
      <c r="B63" s="10">
        <f t="shared" ca="1" si="0"/>
        <v>230</v>
      </c>
      <c r="C63" s="5">
        <f t="shared" ca="1" si="1"/>
        <v>29.900000000000002</v>
      </c>
    </row>
    <row r="64" spans="1:3" ht="13.5" thickBot="1">
      <c r="A64" s="3">
        <v>1023652162</v>
      </c>
      <c r="B64" s="10">
        <f t="shared" ca="1" si="0"/>
        <v>368</v>
      </c>
      <c r="C64" s="5">
        <f t="shared" ca="1" si="1"/>
        <v>47.84</v>
      </c>
    </row>
    <row r="65" spans="1:3" ht="13.5" thickBot="1">
      <c r="A65" s="3">
        <f>A64+13</f>
        <v>1023652175</v>
      </c>
      <c r="B65" s="10">
        <f t="shared" ca="1" si="0"/>
        <v>171</v>
      </c>
      <c r="C65" s="5">
        <f t="shared" ca="1" si="1"/>
        <v>22.23</v>
      </c>
    </row>
    <row r="66" spans="1:3" ht="13.5" thickBot="1">
      <c r="A66" s="3">
        <v>1023652163</v>
      </c>
      <c r="B66" s="10">
        <f t="shared" ca="1" si="0"/>
        <v>55</v>
      </c>
      <c r="C66" s="5">
        <f t="shared" ca="1" si="1"/>
        <v>7.15</v>
      </c>
    </row>
    <row r="67" spans="1:3" ht="13.5" thickBot="1">
      <c r="A67" s="3">
        <f>A66+13</f>
        <v>1023652176</v>
      </c>
      <c r="B67" s="10">
        <f t="shared" ca="1" si="0"/>
        <v>297</v>
      </c>
      <c r="C67" s="5">
        <f t="shared" ca="1" si="1"/>
        <v>38.61</v>
      </c>
    </row>
    <row r="68" spans="1:3" ht="13.5" thickBot="1">
      <c r="A68" s="3">
        <v>1023652164</v>
      </c>
      <c r="B68" s="10">
        <f t="shared" ca="1" si="0"/>
        <v>51</v>
      </c>
      <c r="C68" s="5">
        <f t="shared" ca="1" si="1"/>
        <v>6.63</v>
      </c>
    </row>
    <row r="69" spans="1:3" ht="13.5" thickBot="1">
      <c r="A69" s="3">
        <f>A68+13</f>
        <v>1023652177</v>
      </c>
      <c r="B69" s="10">
        <f t="shared" ca="1" si="0"/>
        <v>281</v>
      </c>
      <c r="C69" s="5">
        <f t="shared" ca="1" si="1"/>
        <v>36.53</v>
      </c>
    </row>
    <row r="70" spans="1:3" ht="13.5" thickBot="1">
      <c r="A70" s="3">
        <v>1023652165</v>
      </c>
      <c r="B70" s="10">
        <f t="shared" ca="1" si="0"/>
        <v>303</v>
      </c>
      <c r="C70" s="5">
        <f t="shared" ca="1" si="1"/>
        <v>39.39</v>
      </c>
    </row>
    <row r="71" spans="1:3" ht="13.5" thickBot="1">
      <c r="A71" s="3">
        <f>A70+13</f>
        <v>1023652178</v>
      </c>
      <c r="B71" s="10">
        <f t="shared" ca="1" si="0"/>
        <v>234</v>
      </c>
      <c r="C71" s="5">
        <f t="shared" ca="1" si="1"/>
        <v>30.42</v>
      </c>
    </row>
    <row r="72" spans="1:3" ht="13.5" thickBot="1">
      <c r="A72" s="3">
        <v>1023652166</v>
      </c>
      <c r="B72" s="10">
        <f t="shared" ca="1" si="0"/>
        <v>354</v>
      </c>
      <c r="C72" s="5">
        <f t="shared" ca="1" si="1"/>
        <v>46.02</v>
      </c>
    </row>
    <row r="73" spans="1:3" ht="13.5" thickBot="1">
      <c r="A73" s="3">
        <f>A72+13</f>
        <v>1023652179</v>
      </c>
      <c r="B73" s="10">
        <f t="shared" ca="1" si="0"/>
        <v>77</v>
      </c>
      <c r="C73" s="5">
        <f t="shared" ca="1" si="1"/>
        <v>10.01</v>
      </c>
    </row>
    <row r="74" spans="1:3" ht="13.5" thickBot="1">
      <c r="A74" s="3">
        <v>1023652167</v>
      </c>
      <c r="B74" s="10">
        <f t="shared" ca="1" si="0"/>
        <v>355</v>
      </c>
      <c r="C74" s="5">
        <f t="shared" ca="1" si="1"/>
        <v>46.15</v>
      </c>
    </row>
    <row r="75" spans="1:3" ht="13.5" thickBot="1">
      <c r="A75" s="3">
        <f>A74+13</f>
        <v>1023652180</v>
      </c>
      <c r="B75" s="10">
        <f t="shared" ref="B75:B138" ca="1" si="2">ROUND(RAND()*400+20,0)</f>
        <v>26</v>
      </c>
      <c r="C75" s="5">
        <f t="shared" ref="C75:C138" ca="1" si="3">(B75*$B$2)</f>
        <v>3.38</v>
      </c>
    </row>
    <row r="76" spans="1:3" ht="13.5" thickBot="1">
      <c r="A76" s="3">
        <v>1023652168</v>
      </c>
      <c r="B76" s="10">
        <f t="shared" ca="1" si="2"/>
        <v>62</v>
      </c>
      <c r="C76" s="5">
        <f t="shared" ca="1" si="3"/>
        <v>8.06</v>
      </c>
    </row>
    <row r="77" spans="1:3" ht="13.5" thickBot="1">
      <c r="A77" s="3">
        <f>A76+13</f>
        <v>1023652181</v>
      </c>
      <c r="B77" s="10">
        <f t="shared" ca="1" si="2"/>
        <v>344</v>
      </c>
      <c r="C77" s="5">
        <f t="shared" ca="1" si="3"/>
        <v>44.72</v>
      </c>
    </row>
    <row r="78" spans="1:3" ht="13.5" thickBot="1">
      <c r="A78" s="3">
        <v>1023652169</v>
      </c>
      <c r="B78" s="10">
        <f t="shared" ca="1" si="2"/>
        <v>410</v>
      </c>
      <c r="C78" s="5">
        <f t="shared" ca="1" si="3"/>
        <v>53.300000000000004</v>
      </c>
    </row>
    <row r="79" spans="1:3" ht="13.5" thickBot="1">
      <c r="A79" s="3">
        <f>A78+13</f>
        <v>1023652182</v>
      </c>
      <c r="B79" s="10">
        <f t="shared" ca="1" si="2"/>
        <v>52</v>
      </c>
      <c r="C79" s="5">
        <f t="shared" ca="1" si="3"/>
        <v>6.76</v>
      </c>
    </row>
    <row r="80" spans="1:3" ht="13.5" thickBot="1">
      <c r="A80" s="3">
        <v>1023652170</v>
      </c>
      <c r="B80" s="10">
        <f t="shared" ca="1" si="2"/>
        <v>291</v>
      </c>
      <c r="C80" s="5">
        <f t="shared" ca="1" si="3"/>
        <v>37.83</v>
      </c>
    </row>
    <row r="81" spans="1:3" ht="13.5" thickBot="1">
      <c r="A81" s="3">
        <f>A80+13</f>
        <v>1023652183</v>
      </c>
      <c r="B81" s="10">
        <f t="shared" ca="1" si="2"/>
        <v>179</v>
      </c>
      <c r="C81" s="5">
        <f t="shared" ca="1" si="3"/>
        <v>23.27</v>
      </c>
    </row>
    <row r="82" spans="1:3" ht="13.5" thickBot="1">
      <c r="A82" s="3">
        <v>1023652171</v>
      </c>
      <c r="B82" s="10">
        <f t="shared" ca="1" si="2"/>
        <v>92</v>
      </c>
      <c r="C82" s="5">
        <f t="shared" ca="1" si="3"/>
        <v>11.96</v>
      </c>
    </row>
    <row r="83" spans="1:3" ht="13.5" thickBot="1">
      <c r="A83" s="3">
        <f>A82+13</f>
        <v>1023652184</v>
      </c>
      <c r="B83" s="10">
        <f t="shared" ca="1" si="2"/>
        <v>181</v>
      </c>
      <c r="C83" s="5">
        <f t="shared" ca="1" si="3"/>
        <v>23.53</v>
      </c>
    </row>
    <row r="84" spans="1:3" ht="13.5" thickBot="1">
      <c r="A84" s="3">
        <v>1023652172</v>
      </c>
      <c r="B84" s="10">
        <f t="shared" ca="1" si="2"/>
        <v>248</v>
      </c>
      <c r="C84" s="5">
        <f t="shared" ca="1" si="3"/>
        <v>32.24</v>
      </c>
    </row>
    <row r="85" spans="1:3" ht="13.5" thickBot="1">
      <c r="A85" s="3">
        <f>A84+13</f>
        <v>1023652185</v>
      </c>
      <c r="B85" s="10">
        <f t="shared" ca="1" si="2"/>
        <v>54</v>
      </c>
      <c r="C85" s="5">
        <f t="shared" ca="1" si="3"/>
        <v>7.0200000000000005</v>
      </c>
    </row>
    <row r="86" spans="1:3" ht="13.5" thickBot="1">
      <c r="A86" s="3">
        <v>1023652173</v>
      </c>
      <c r="B86" s="10">
        <f t="shared" ca="1" si="2"/>
        <v>253</v>
      </c>
      <c r="C86" s="5">
        <f t="shared" ca="1" si="3"/>
        <v>32.89</v>
      </c>
    </row>
    <row r="87" spans="1:3" ht="13.5" thickBot="1">
      <c r="A87" s="3">
        <f>A86+13</f>
        <v>1023652186</v>
      </c>
      <c r="B87" s="10">
        <f t="shared" ca="1" si="2"/>
        <v>156</v>
      </c>
      <c r="C87" s="5">
        <f t="shared" ca="1" si="3"/>
        <v>20.28</v>
      </c>
    </row>
    <row r="88" spans="1:3" ht="13.5" thickBot="1">
      <c r="A88" s="3">
        <v>1023652174</v>
      </c>
      <c r="B88" s="10">
        <f t="shared" ca="1" si="2"/>
        <v>295</v>
      </c>
      <c r="C88" s="5">
        <f t="shared" ca="1" si="3"/>
        <v>38.35</v>
      </c>
    </row>
    <row r="89" spans="1:3" ht="13.5" thickBot="1">
      <c r="A89" s="3">
        <f>A88+13</f>
        <v>1023652187</v>
      </c>
      <c r="B89" s="10">
        <f t="shared" ca="1" si="2"/>
        <v>73</v>
      </c>
      <c r="C89" s="5">
        <f t="shared" ca="1" si="3"/>
        <v>9.49</v>
      </c>
    </row>
    <row r="90" spans="1:3" ht="13.5" thickBot="1">
      <c r="A90" s="3">
        <v>1023652175</v>
      </c>
      <c r="B90" s="10">
        <f t="shared" ca="1" si="2"/>
        <v>313</v>
      </c>
      <c r="C90" s="5">
        <f t="shared" ca="1" si="3"/>
        <v>40.690000000000005</v>
      </c>
    </row>
    <row r="91" spans="1:3" ht="13.5" thickBot="1">
      <c r="A91" s="3">
        <f>A90+13</f>
        <v>1023652188</v>
      </c>
      <c r="B91" s="10">
        <f t="shared" ca="1" si="2"/>
        <v>271</v>
      </c>
      <c r="C91" s="5">
        <f t="shared" ca="1" si="3"/>
        <v>35.230000000000004</v>
      </c>
    </row>
    <row r="92" spans="1:3" ht="13.5" thickBot="1">
      <c r="A92" s="3">
        <v>1023652176</v>
      </c>
      <c r="B92" s="10">
        <f t="shared" ca="1" si="2"/>
        <v>378</v>
      </c>
      <c r="C92" s="5">
        <f t="shared" ca="1" si="3"/>
        <v>49.14</v>
      </c>
    </row>
    <row r="93" spans="1:3" ht="13.5" thickBot="1">
      <c r="A93" s="3">
        <f>A92+13</f>
        <v>1023652189</v>
      </c>
      <c r="B93" s="10">
        <f t="shared" ca="1" si="2"/>
        <v>384</v>
      </c>
      <c r="C93" s="5">
        <f t="shared" ca="1" si="3"/>
        <v>49.92</v>
      </c>
    </row>
    <row r="94" spans="1:3" ht="13.5" thickBot="1">
      <c r="A94" s="3">
        <v>1023652177</v>
      </c>
      <c r="B94" s="10">
        <f t="shared" ca="1" si="2"/>
        <v>322</v>
      </c>
      <c r="C94" s="5">
        <f t="shared" ca="1" si="3"/>
        <v>41.86</v>
      </c>
    </row>
    <row r="95" spans="1:3" ht="13.5" thickBot="1">
      <c r="A95" s="3">
        <f>A94+13</f>
        <v>1023652190</v>
      </c>
      <c r="B95" s="10">
        <f t="shared" ca="1" si="2"/>
        <v>22</v>
      </c>
      <c r="C95" s="5">
        <f t="shared" ca="1" si="3"/>
        <v>2.8600000000000003</v>
      </c>
    </row>
    <row r="96" spans="1:3" ht="13.5" thickBot="1">
      <c r="A96" s="3">
        <v>1023652178</v>
      </c>
      <c r="B96" s="10">
        <f t="shared" ca="1" si="2"/>
        <v>310</v>
      </c>
      <c r="C96" s="5">
        <f t="shared" ca="1" si="3"/>
        <v>40.300000000000004</v>
      </c>
    </row>
    <row r="97" spans="1:3" ht="13.5" thickBot="1">
      <c r="A97" s="3">
        <f>A96+13</f>
        <v>1023652191</v>
      </c>
      <c r="B97" s="10">
        <f t="shared" ca="1" si="2"/>
        <v>109</v>
      </c>
      <c r="C97" s="5">
        <f t="shared" ca="1" si="3"/>
        <v>14.17</v>
      </c>
    </row>
    <row r="98" spans="1:3" ht="13.5" thickBot="1">
      <c r="A98" s="3">
        <v>1023652179</v>
      </c>
      <c r="B98" s="10">
        <f t="shared" ca="1" si="2"/>
        <v>238</v>
      </c>
      <c r="C98" s="5">
        <f t="shared" ca="1" si="3"/>
        <v>30.94</v>
      </c>
    </row>
    <row r="99" spans="1:3" ht="13.5" thickBot="1">
      <c r="A99" s="3">
        <f>A98+13</f>
        <v>1023652192</v>
      </c>
      <c r="B99" s="10">
        <f t="shared" ca="1" si="2"/>
        <v>168</v>
      </c>
      <c r="C99" s="5">
        <f t="shared" ca="1" si="3"/>
        <v>21.84</v>
      </c>
    </row>
    <row r="100" spans="1:3" ht="13.5" thickBot="1">
      <c r="A100" s="3">
        <v>1023652180</v>
      </c>
      <c r="B100" s="10">
        <f t="shared" ca="1" si="2"/>
        <v>37</v>
      </c>
      <c r="C100" s="5">
        <f t="shared" ca="1" si="3"/>
        <v>4.8100000000000005</v>
      </c>
    </row>
    <row r="101" spans="1:3" ht="13.5" thickBot="1">
      <c r="A101" s="3">
        <f>A100+13</f>
        <v>1023652193</v>
      </c>
      <c r="B101" s="10">
        <f t="shared" ca="1" si="2"/>
        <v>387</v>
      </c>
      <c r="C101" s="5">
        <f t="shared" ca="1" si="3"/>
        <v>50.31</v>
      </c>
    </row>
    <row r="102" spans="1:3" ht="13.5" thickBot="1">
      <c r="A102" s="3">
        <v>1023652181</v>
      </c>
      <c r="B102" s="10">
        <f t="shared" ca="1" si="2"/>
        <v>63</v>
      </c>
      <c r="C102" s="5">
        <f t="shared" ca="1" si="3"/>
        <v>8.19</v>
      </c>
    </row>
    <row r="103" spans="1:3" ht="13.5" thickBot="1">
      <c r="A103" s="3">
        <f>A102+13</f>
        <v>1023652194</v>
      </c>
      <c r="B103" s="10">
        <f t="shared" ca="1" si="2"/>
        <v>78</v>
      </c>
      <c r="C103" s="5">
        <f t="shared" ca="1" si="3"/>
        <v>10.14</v>
      </c>
    </row>
    <row r="104" spans="1:3" ht="13.5" thickBot="1">
      <c r="A104" s="3">
        <v>1023652182</v>
      </c>
      <c r="B104" s="10">
        <f t="shared" ca="1" si="2"/>
        <v>379</v>
      </c>
      <c r="C104" s="5">
        <f t="shared" ca="1" si="3"/>
        <v>49.27</v>
      </c>
    </row>
    <row r="105" spans="1:3" ht="13.5" thickBot="1">
      <c r="A105" s="3">
        <f>A104+13</f>
        <v>1023652195</v>
      </c>
      <c r="B105" s="10">
        <f t="shared" ca="1" si="2"/>
        <v>74</v>
      </c>
      <c r="C105" s="5">
        <f t="shared" ca="1" si="3"/>
        <v>9.620000000000001</v>
      </c>
    </row>
    <row r="106" spans="1:3" ht="13.5" thickBot="1">
      <c r="A106" s="3">
        <v>1023652183</v>
      </c>
      <c r="B106" s="10">
        <f t="shared" ca="1" si="2"/>
        <v>222</v>
      </c>
      <c r="C106" s="5">
        <f t="shared" ca="1" si="3"/>
        <v>28.86</v>
      </c>
    </row>
    <row r="107" spans="1:3" ht="13.5" thickBot="1">
      <c r="A107" s="3">
        <f>A106+13</f>
        <v>1023652196</v>
      </c>
      <c r="B107" s="10">
        <f t="shared" ca="1" si="2"/>
        <v>314</v>
      </c>
      <c r="C107" s="5">
        <f t="shared" ca="1" si="3"/>
        <v>40.82</v>
      </c>
    </row>
    <row r="108" spans="1:3" ht="13.5" thickBot="1">
      <c r="A108" s="3">
        <v>1023652184</v>
      </c>
      <c r="B108" s="10">
        <f t="shared" ca="1" si="2"/>
        <v>302</v>
      </c>
      <c r="C108" s="5">
        <f t="shared" ca="1" si="3"/>
        <v>39.26</v>
      </c>
    </row>
    <row r="109" spans="1:3" ht="13.5" thickBot="1">
      <c r="A109" s="3">
        <f>A108+13</f>
        <v>1023652197</v>
      </c>
      <c r="B109" s="10">
        <f t="shared" ca="1" si="2"/>
        <v>231</v>
      </c>
      <c r="C109" s="5">
        <f t="shared" ca="1" si="3"/>
        <v>30.03</v>
      </c>
    </row>
    <row r="110" spans="1:3" ht="13.5" thickBot="1">
      <c r="A110" s="3">
        <v>1023652185</v>
      </c>
      <c r="B110" s="10">
        <f t="shared" ca="1" si="2"/>
        <v>51</v>
      </c>
      <c r="C110" s="5">
        <f t="shared" ca="1" si="3"/>
        <v>6.63</v>
      </c>
    </row>
    <row r="111" spans="1:3" ht="13.5" thickBot="1">
      <c r="A111" s="3">
        <f>A110+13</f>
        <v>1023652198</v>
      </c>
      <c r="B111" s="10">
        <f t="shared" ca="1" si="2"/>
        <v>354</v>
      </c>
      <c r="C111" s="5">
        <f t="shared" ca="1" si="3"/>
        <v>46.02</v>
      </c>
    </row>
    <row r="112" spans="1:3" ht="13.5" thickBot="1">
      <c r="A112" s="3">
        <v>1023652186</v>
      </c>
      <c r="B112" s="10">
        <f t="shared" ca="1" si="2"/>
        <v>265</v>
      </c>
      <c r="C112" s="5">
        <f t="shared" ca="1" si="3"/>
        <v>34.450000000000003</v>
      </c>
    </row>
    <row r="113" spans="1:3" ht="13.5" thickBot="1">
      <c r="A113" s="3">
        <f>A112+13</f>
        <v>1023652199</v>
      </c>
      <c r="B113" s="10">
        <f t="shared" ca="1" si="2"/>
        <v>316</v>
      </c>
      <c r="C113" s="5">
        <f t="shared" ca="1" si="3"/>
        <v>41.08</v>
      </c>
    </row>
    <row r="114" spans="1:3" ht="13.5" thickBot="1">
      <c r="A114" s="3">
        <v>1023652187</v>
      </c>
      <c r="B114" s="10">
        <f t="shared" ca="1" si="2"/>
        <v>392</v>
      </c>
      <c r="C114" s="5">
        <f t="shared" ca="1" si="3"/>
        <v>50.96</v>
      </c>
    </row>
    <row r="115" spans="1:3" ht="13.5" thickBot="1">
      <c r="A115" s="3">
        <f>A114+13</f>
        <v>1023652200</v>
      </c>
      <c r="B115" s="10">
        <f t="shared" ca="1" si="2"/>
        <v>52</v>
      </c>
      <c r="C115" s="5">
        <f t="shared" ca="1" si="3"/>
        <v>6.76</v>
      </c>
    </row>
    <row r="116" spans="1:3" ht="13.5" thickBot="1">
      <c r="A116" s="3">
        <v>1023652188</v>
      </c>
      <c r="B116" s="10">
        <f t="shared" ca="1" si="2"/>
        <v>119</v>
      </c>
      <c r="C116" s="5">
        <f t="shared" ca="1" si="3"/>
        <v>15.47</v>
      </c>
    </row>
    <row r="117" spans="1:3" ht="13.5" thickBot="1">
      <c r="A117" s="3">
        <f>A116+13</f>
        <v>1023652201</v>
      </c>
      <c r="B117" s="10">
        <f t="shared" ca="1" si="2"/>
        <v>112</v>
      </c>
      <c r="C117" s="5">
        <f t="shared" ca="1" si="3"/>
        <v>14.56</v>
      </c>
    </row>
    <row r="118" spans="1:3" ht="13.5" thickBot="1">
      <c r="A118" s="3">
        <v>1023652189</v>
      </c>
      <c r="B118" s="10">
        <f t="shared" ca="1" si="2"/>
        <v>92</v>
      </c>
      <c r="C118" s="5">
        <f t="shared" ca="1" si="3"/>
        <v>11.96</v>
      </c>
    </row>
    <row r="119" spans="1:3" ht="13.5" thickBot="1">
      <c r="A119" s="3">
        <f>A118+13</f>
        <v>1023652202</v>
      </c>
      <c r="B119" s="10">
        <f t="shared" ca="1" si="2"/>
        <v>336</v>
      </c>
      <c r="C119" s="5">
        <f t="shared" ca="1" si="3"/>
        <v>43.68</v>
      </c>
    </row>
    <row r="120" spans="1:3" ht="13.5" thickBot="1">
      <c r="A120" s="3">
        <v>1023652190</v>
      </c>
      <c r="B120" s="10">
        <f t="shared" ca="1" si="2"/>
        <v>401</v>
      </c>
      <c r="C120" s="5">
        <f t="shared" ca="1" si="3"/>
        <v>52.13</v>
      </c>
    </row>
    <row r="121" spans="1:3" ht="13.5" thickBot="1">
      <c r="A121" s="3">
        <f>A120+13</f>
        <v>1023652203</v>
      </c>
      <c r="B121" s="10">
        <f t="shared" ca="1" si="2"/>
        <v>281</v>
      </c>
      <c r="C121" s="5">
        <f t="shared" ca="1" si="3"/>
        <v>36.53</v>
      </c>
    </row>
    <row r="122" spans="1:3" ht="13.5" thickBot="1">
      <c r="A122" s="3">
        <v>1023652191</v>
      </c>
      <c r="B122" s="10">
        <f t="shared" ca="1" si="2"/>
        <v>381</v>
      </c>
      <c r="C122" s="5">
        <f t="shared" ca="1" si="3"/>
        <v>49.53</v>
      </c>
    </row>
    <row r="123" spans="1:3" ht="13.5" thickBot="1">
      <c r="A123" s="3">
        <f>A122+13</f>
        <v>1023652204</v>
      </c>
      <c r="B123" s="10">
        <f t="shared" ca="1" si="2"/>
        <v>280</v>
      </c>
      <c r="C123" s="5">
        <f t="shared" ca="1" si="3"/>
        <v>36.4</v>
      </c>
    </row>
    <row r="124" spans="1:3" ht="13.5" thickBot="1">
      <c r="A124" s="3">
        <v>1023652192</v>
      </c>
      <c r="B124" s="10">
        <f t="shared" ca="1" si="2"/>
        <v>94</v>
      </c>
      <c r="C124" s="5">
        <f t="shared" ca="1" si="3"/>
        <v>12.22</v>
      </c>
    </row>
    <row r="125" spans="1:3" ht="13.5" thickBot="1">
      <c r="A125" s="3">
        <f>A124+13</f>
        <v>1023652205</v>
      </c>
      <c r="B125" s="10">
        <f t="shared" ca="1" si="2"/>
        <v>289</v>
      </c>
      <c r="C125" s="5">
        <f t="shared" ca="1" si="3"/>
        <v>37.57</v>
      </c>
    </row>
    <row r="126" spans="1:3" ht="13.5" thickBot="1">
      <c r="A126" s="3">
        <v>1023652193</v>
      </c>
      <c r="B126" s="10">
        <f t="shared" ca="1" si="2"/>
        <v>327</v>
      </c>
      <c r="C126" s="5">
        <f t="shared" ca="1" si="3"/>
        <v>42.51</v>
      </c>
    </row>
    <row r="127" spans="1:3" ht="13.5" thickBot="1">
      <c r="A127" s="3">
        <f>A126+13</f>
        <v>1023652206</v>
      </c>
      <c r="B127" s="10">
        <f t="shared" ca="1" si="2"/>
        <v>382</v>
      </c>
      <c r="C127" s="5">
        <f t="shared" ca="1" si="3"/>
        <v>49.660000000000004</v>
      </c>
    </row>
    <row r="128" spans="1:3" ht="13.5" thickBot="1">
      <c r="A128" s="3">
        <v>1023652194</v>
      </c>
      <c r="B128" s="10">
        <f t="shared" ca="1" si="2"/>
        <v>261</v>
      </c>
      <c r="C128" s="5">
        <f t="shared" ca="1" si="3"/>
        <v>33.93</v>
      </c>
    </row>
    <row r="129" spans="1:3" ht="13.5" thickBot="1">
      <c r="A129" s="3">
        <f>A128+13</f>
        <v>1023652207</v>
      </c>
      <c r="B129" s="10">
        <f t="shared" ca="1" si="2"/>
        <v>99</v>
      </c>
      <c r="C129" s="5">
        <f t="shared" ca="1" si="3"/>
        <v>12.870000000000001</v>
      </c>
    </row>
    <row r="130" spans="1:3" ht="13.5" thickBot="1">
      <c r="A130" s="3">
        <v>1023652195</v>
      </c>
      <c r="B130" s="10">
        <f t="shared" ca="1" si="2"/>
        <v>82</v>
      </c>
      <c r="C130" s="5">
        <f t="shared" ca="1" si="3"/>
        <v>10.66</v>
      </c>
    </row>
    <row r="131" spans="1:3" ht="13.5" thickBot="1">
      <c r="A131" s="3">
        <f>A130+13</f>
        <v>1023652208</v>
      </c>
      <c r="B131" s="10">
        <f t="shared" ca="1" si="2"/>
        <v>140</v>
      </c>
      <c r="C131" s="5">
        <f t="shared" ca="1" si="3"/>
        <v>18.2</v>
      </c>
    </row>
    <row r="132" spans="1:3" ht="13.5" thickBot="1">
      <c r="A132" s="3">
        <v>1023652196</v>
      </c>
      <c r="B132" s="10">
        <f t="shared" ca="1" si="2"/>
        <v>39</v>
      </c>
      <c r="C132" s="5">
        <f t="shared" ca="1" si="3"/>
        <v>5.07</v>
      </c>
    </row>
    <row r="133" spans="1:3" ht="13.5" thickBot="1">
      <c r="A133" s="3">
        <f>A132+13</f>
        <v>1023652209</v>
      </c>
      <c r="B133" s="10">
        <f t="shared" ca="1" si="2"/>
        <v>46</v>
      </c>
      <c r="C133" s="5">
        <f t="shared" ca="1" si="3"/>
        <v>5.98</v>
      </c>
    </row>
    <row r="134" spans="1:3" ht="13.5" thickBot="1">
      <c r="A134" s="3">
        <v>1023652197</v>
      </c>
      <c r="B134" s="10">
        <f t="shared" ca="1" si="2"/>
        <v>389</v>
      </c>
      <c r="C134" s="5">
        <f t="shared" ca="1" si="3"/>
        <v>50.57</v>
      </c>
    </row>
    <row r="135" spans="1:3" ht="13.5" thickBot="1">
      <c r="A135" s="3">
        <f>A134+13</f>
        <v>1023652210</v>
      </c>
      <c r="B135" s="10">
        <f t="shared" ca="1" si="2"/>
        <v>136</v>
      </c>
      <c r="C135" s="5">
        <f t="shared" ca="1" si="3"/>
        <v>17.68</v>
      </c>
    </row>
    <row r="136" spans="1:3" ht="13.5" thickBot="1">
      <c r="A136" s="3">
        <v>1023652198</v>
      </c>
      <c r="B136" s="10">
        <f t="shared" ca="1" si="2"/>
        <v>275</v>
      </c>
      <c r="C136" s="5">
        <f t="shared" ca="1" si="3"/>
        <v>35.75</v>
      </c>
    </row>
    <row r="137" spans="1:3" ht="13.5" thickBot="1">
      <c r="A137" s="3">
        <f>A136+13</f>
        <v>1023652211</v>
      </c>
      <c r="B137" s="10">
        <f t="shared" ca="1" si="2"/>
        <v>290</v>
      </c>
      <c r="C137" s="5">
        <f t="shared" ca="1" si="3"/>
        <v>37.700000000000003</v>
      </c>
    </row>
    <row r="138" spans="1:3" ht="13.5" thickBot="1">
      <c r="A138" s="3">
        <v>1023652199</v>
      </c>
      <c r="B138" s="10">
        <f t="shared" ca="1" si="2"/>
        <v>179</v>
      </c>
      <c r="C138" s="5">
        <f t="shared" ca="1" si="3"/>
        <v>23.27</v>
      </c>
    </row>
    <row r="139" spans="1:3" ht="13.5" thickBot="1">
      <c r="A139" s="3">
        <f>A138+13</f>
        <v>1023652212</v>
      </c>
      <c r="B139" s="10">
        <f t="shared" ref="B139:B200" ca="1" si="4">ROUND(RAND()*400+20,0)</f>
        <v>413</v>
      </c>
      <c r="C139" s="5">
        <f t="shared" ref="C139:C200" ca="1" si="5">(B139*$B$2)</f>
        <v>53.690000000000005</v>
      </c>
    </row>
    <row r="140" spans="1:3" ht="13.5" thickBot="1">
      <c r="A140" s="3">
        <v>1023652200</v>
      </c>
      <c r="B140" s="10">
        <f t="shared" ca="1" si="4"/>
        <v>108</v>
      </c>
      <c r="C140" s="5">
        <f t="shared" ca="1" si="5"/>
        <v>14.040000000000001</v>
      </c>
    </row>
    <row r="141" spans="1:3" ht="13.5" thickBot="1">
      <c r="A141" s="3">
        <f>A140+13</f>
        <v>1023652213</v>
      </c>
      <c r="B141" s="10">
        <f t="shared" ca="1" si="4"/>
        <v>197</v>
      </c>
      <c r="C141" s="5">
        <f t="shared" ca="1" si="5"/>
        <v>25.61</v>
      </c>
    </row>
    <row r="142" spans="1:3" ht="13.5" thickBot="1">
      <c r="A142" s="3">
        <v>1023652201</v>
      </c>
      <c r="B142" s="10">
        <f t="shared" ca="1" si="4"/>
        <v>144</v>
      </c>
      <c r="C142" s="5">
        <f t="shared" ca="1" si="5"/>
        <v>18.72</v>
      </c>
    </row>
    <row r="143" spans="1:3" ht="13.5" thickBot="1">
      <c r="A143" s="3">
        <f>A142+13</f>
        <v>1023652214</v>
      </c>
      <c r="B143" s="10">
        <f t="shared" ca="1" si="4"/>
        <v>380</v>
      </c>
      <c r="C143" s="5">
        <f t="shared" ca="1" si="5"/>
        <v>49.4</v>
      </c>
    </row>
    <row r="144" spans="1:3" ht="13.5" thickBot="1">
      <c r="A144" s="3">
        <v>1023652202</v>
      </c>
      <c r="B144" s="10">
        <f t="shared" ca="1" si="4"/>
        <v>59</v>
      </c>
      <c r="C144" s="5">
        <f t="shared" ca="1" si="5"/>
        <v>7.67</v>
      </c>
    </row>
    <row r="145" spans="1:3" ht="13.5" thickBot="1">
      <c r="A145" s="3">
        <f>A144+13</f>
        <v>1023652215</v>
      </c>
      <c r="B145" s="10">
        <f t="shared" ca="1" si="4"/>
        <v>349</v>
      </c>
      <c r="C145" s="5">
        <f t="shared" ca="1" si="5"/>
        <v>45.370000000000005</v>
      </c>
    </row>
    <row r="146" spans="1:3" ht="13.5" thickBot="1">
      <c r="A146" s="3">
        <v>1023652203</v>
      </c>
      <c r="B146" s="10">
        <f t="shared" ca="1" si="4"/>
        <v>43</v>
      </c>
      <c r="C146" s="5">
        <f t="shared" ca="1" si="5"/>
        <v>5.59</v>
      </c>
    </row>
    <row r="147" spans="1:3" ht="13.5" thickBot="1">
      <c r="A147" s="3">
        <f>A146+13</f>
        <v>1023652216</v>
      </c>
      <c r="B147" s="10">
        <f t="shared" ca="1" si="4"/>
        <v>328</v>
      </c>
      <c r="C147" s="5">
        <f t="shared" ca="1" si="5"/>
        <v>42.64</v>
      </c>
    </row>
    <row r="148" spans="1:3" ht="13.5" thickBot="1">
      <c r="A148" s="3">
        <v>1023652204</v>
      </c>
      <c r="B148" s="10">
        <f t="shared" ca="1" si="4"/>
        <v>131</v>
      </c>
      <c r="C148" s="5">
        <f t="shared" ca="1" si="5"/>
        <v>17.03</v>
      </c>
    </row>
    <row r="149" spans="1:3" ht="13.5" thickBot="1">
      <c r="A149" s="3">
        <f>A148+13</f>
        <v>1023652217</v>
      </c>
      <c r="B149" s="10">
        <f t="shared" ca="1" si="4"/>
        <v>412</v>
      </c>
      <c r="C149" s="5">
        <f t="shared" ca="1" si="5"/>
        <v>53.56</v>
      </c>
    </row>
    <row r="150" spans="1:3" ht="13.5" thickBot="1">
      <c r="A150" s="3">
        <v>1023652205</v>
      </c>
      <c r="B150" s="10">
        <f t="shared" ca="1" si="4"/>
        <v>192</v>
      </c>
      <c r="C150" s="5">
        <f t="shared" ca="1" si="5"/>
        <v>24.96</v>
      </c>
    </row>
    <row r="151" spans="1:3" ht="13.5" thickBot="1">
      <c r="A151" s="3">
        <f>A150+13</f>
        <v>1023652218</v>
      </c>
      <c r="B151" s="10">
        <f t="shared" ca="1" si="4"/>
        <v>404</v>
      </c>
      <c r="C151" s="5">
        <f t="shared" ca="1" si="5"/>
        <v>52.52</v>
      </c>
    </row>
    <row r="152" spans="1:3" ht="13.5" thickBot="1">
      <c r="A152" s="3">
        <v>1023652206</v>
      </c>
      <c r="B152" s="10">
        <f t="shared" ca="1" si="4"/>
        <v>85</v>
      </c>
      <c r="C152" s="5">
        <f t="shared" ca="1" si="5"/>
        <v>11.05</v>
      </c>
    </row>
    <row r="153" spans="1:3" ht="13.5" thickBot="1">
      <c r="A153" s="3">
        <f>A152+13</f>
        <v>1023652219</v>
      </c>
      <c r="B153" s="10">
        <f t="shared" ca="1" si="4"/>
        <v>351</v>
      </c>
      <c r="C153" s="5">
        <f t="shared" ca="1" si="5"/>
        <v>45.63</v>
      </c>
    </row>
    <row r="154" spans="1:3" ht="13.5" thickBot="1">
      <c r="A154" s="3">
        <v>1023652207</v>
      </c>
      <c r="B154" s="10">
        <f t="shared" ca="1" si="4"/>
        <v>313</v>
      </c>
      <c r="C154" s="5">
        <f t="shared" ca="1" si="5"/>
        <v>40.690000000000005</v>
      </c>
    </row>
    <row r="155" spans="1:3" ht="13.5" thickBot="1">
      <c r="A155" s="3">
        <f>A154+13</f>
        <v>1023652220</v>
      </c>
      <c r="B155" s="10">
        <f t="shared" ca="1" si="4"/>
        <v>206</v>
      </c>
      <c r="C155" s="5">
        <f t="shared" ca="1" si="5"/>
        <v>26.78</v>
      </c>
    </row>
    <row r="156" spans="1:3" ht="13.5" thickBot="1">
      <c r="A156" s="3">
        <v>1023652208</v>
      </c>
      <c r="B156" s="10">
        <f t="shared" ca="1" si="4"/>
        <v>78</v>
      </c>
      <c r="C156" s="5">
        <f t="shared" ca="1" si="5"/>
        <v>10.14</v>
      </c>
    </row>
    <row r="157" spans="1:3" ht="13.5" thickBot="1">
      <c r="A157" s="3">
        <f>A156+13</f>
        <v>1023652221</v>
      </c>
      <c r="B157" s="10">
        <f t="shared" ca="1" si="4"/>
        <v>45</v>
      </c>
      <c r="C157" s="5">
        <f t="shared" ca="1" si="5"/>
        <v>5.8500000000000005</v>
      </c>
    </row>
    <row r="158" spans="1:3" ht="13.5" thickBot="1">
      <c r="A158" s="3">
        <v>1023652209</v>
      </c>
      <c r="B158" s="10">
        <f t="shared" ca="1" si="4"/>
        <v>61</v>
      </c>
      <c r="C158" s="5">
        <f t="shared" ca="1" si="5"/>
        <v>7.9300000000000006</v>
      </c>
    </row>
    <row r="159" spans="1:3" ht="13.5" thickBot="1">
      <c r="A159" s="3">
        <f>A158+13</f>
        <v>1023652222</v>
      </c>
      <c r="B159" s="10">
        <f t="shared" ca="1" si="4"/>
        <v>330</v>
      </c>
      <c r="C159" s="5">
        <f t="shared" ca="1" si="5"/>
        <v>42.9</v>
      </c>
    </row>
    <row r="160" spans="1:3" ht="13.5" thickBot="1">
      <c r="A160" s="3">
        <v>1023652210</v>
      </c>
      <c r="B160" s="10">
        <f t="shared" ca="1" si="4"/>
        <v>375</v>
      </c>
      <c r="C160" s="5">
        <f t="shared" ca="1" si="5"/>
        <v>48.75</v>
      </c>
    </row>
    <row r="161" spans="1:3" ht="13.5" thickBot="1">
      <c r="A161" s="3">
        <f>A160+13</f>
        <v>1023652223</v>
      </c>
      <c r="B161" s="10">
        <f t="shared" ca="1" si="4"/>
        <v>338</v>
      </c>
      <c r="C161" s="5">
        <f t="shared" ca="1" si="5"/>
        <v>43.940000000000005</v>
      </c>
    </row>
    <row r="162" spans="1:3" ht="13.5" thickBot="1">
      <c r="A162" s="3">
        <v>1023652211</v>
      </c>
      <c r="B162" s="10">
        <f t="shared" ca="1" si="4"/>
        <v>309</v>
      </c>
      <c r="C162" s="5">
        <f t="shared" ca="1" si="5"/>
        <v>40.17</v>
      </c>
    </row>
    <row r="163" spans="1:3" ht="13.5" thickBot="1">
      <c r="A163" s="3">
        <f>A162+13</f>
        <v>1023652224</v>
      </c>
      <c r="B163" s="10">
        <f t="shared" ca="1" si="4"/>
        <v>95</v>
      </c>
      <c r="C163" s="5">
        <f t="shared" ca="1" si="5"/>
        <v>12.35</v>
      </c>
    </row>
    <row r="164" spans="1:3" ht="13.5" thickBot="1">
      <c r="A164" s="3">
        <v>1023652212</v>
      </c>
      <c r="B164" s="10">
        <f t="shared" ca="1" si="4"/>
        <v>323</v>
      </c>
      <c r="C164" s="5">
        <f t="shared" ca="1" si="5"/>
        <v>41.99</v>
      </c>
    </row>
    <row r="165" spans="1:3" ht="13.5" thickBot="1">
      <c r="A165" s="3">
        <f>A164+13</f>
        <v>1023652225</v>
      </c>
      <c r="B165" s="10">
        <f t="shared" ca="1" si="4"/>
        <v>82</v>
      </c>
      <c r="C165" s="5">
        <f t="shared" ca="1" si="5"/>
        <v>10.66</v>
      </c>
    </row>
    <row r="166" spans="1:3" ht="13.5" thickBot="1">
      <c r="A166" s="3">
        <v>1023652213</v>
      </c>
      <c r="B166" s="10">
        <f t="shared" ca="1" si="4"/>
        <v>155</v>
      </c>
      <c r="C166" s="5">
        <f t="shared" ca="1" si="5"/>
        <v>20.150000000000002</v>
      </c>
    </row>
    <row r="167" spans="1:3" ht="13.5" thickBot="1">
      <c r="A167" s="3">
        <f>A166+13</f>
        <v>1023652226</v>
      </c>
      <c r="B167" s="10">
        <f t="shared" ca="1" si="4"/>
        <v>172</v>
      </c>
      <c r="C167" s="5">
        <f t="shared" ca="1" si="5"/>
        <v>22.36</v>
      </c>
    </row>
    <row r="168" spans="1:3" ht="13.5" thickBot="1">
      <c r="A168" s="3">
        <v>1023652214</v>
      </c>
      <c r="B168" s="10">
        <f t="shared" ca="1" si="4"/>
        <v>129</v>
      </c>
      <c r="C168" s="5">
        <f t="shared" ca="1" si="5"/>
        <v>16.77</v>
      </c>
    </row>
    <row r="169" spans="1:3" ht="13.5" thickBot="1">
      <c r="A169" s="3">
        <f>A168+13</f>
        <v>1023652227</v>
      </c>
      <c r="B169" s="10">
        <f t="shared" ca="1" si="4"/>
        <v>263</v>
      </c>
      <c r="C169" s="5">
        <f t="shared" ca="1" si="5"/>
        <v>34.19</v>
      </c>
    </row>
    <row r="170" spans="1:3" ht="13.5" thickBot="1">
      <c r="A170" s="3">
        <v>1023652215</v>
      </c>
      <c r="B170" s="10">
        <f t="shared" ca="1" si="4"/>
        <v>373</v>
      </c>
      <c r="C170" s="5">
        <f t="shared" ca="1" si="5"/>
        <v>48.49</v>
      </c>
    </row>
    <row r="171" spans="1:3" ht="13.5" thickBot="1">
      <c r="A171" s="3">
        <f>A170+13</f>
        <v>1023652228</v>
      </c>
      <c r="B171" s="10">
        <f t="shared" ca="1" si="4"/>
        <v>235</v>
      </c>
      <c r="C171" s="5">
        <f t="shared" ca="1" si="5"/>
        <v>30.55</v>
      </c>
    </row>
    <row r="172" spans="1:3" ht="13.5" thickBot="1">
      <c r="A172" s="3">
        <v>1023652216</v>
      </c>
      <c r="B172" s="10">
        <f t="shared" ca="1" si="4"/>
        <v>327</v>
      </c>
      <c r="C172" s="5">
        <f t="shared" ca="1" si="5"/>
        <v>42.51</v>
      </c>
    </row>
    <row r="173" spans="1:3" ht="13.5" thickBot="1">
      <c r="A173" s="3">
        <f>A172+13</f>
        <v>1023652229</v>
      </c>
      <c r="B173" s="10">
        <f t="shared" ca="1" si="4"/>
        <v>165</v>
      </c>
      <c r="C173" s="5">
        <f t="shared" ca="1" si="5"/>
        <v>21.45</v>
      </c>
    </row>
    <row r="174" spans="1:3" ht="13.5" thickBot="1">
      <c r="A174" s="3">
        <v>1023652217</v>
      </c>
      <c r="B174" s="10">
        <f t="shared" ca="1" si="4"/>
        <v>370</v>
      </c>
      <c r="C174" s="5">
        <f t="shared" ca="1" si="5"/>
        <v>48.1</v>
      </c>
    </row>
    <row r="175" spans="1:3" ht="13.5" thickBot="1">
      <c r="A175" s="3">
        <f>A174+13</f>
        <v>1023652230</v>
      </c>
      <c r="B175" s="10">
        <f t="shared" ca="1" si="4"/>
        <v>172</v>
      </c>
      <c r="C175" s="5">
        <f t="shared" ca="1" si="5"/>
        <v>22.36</v>
      </c>
    </row>
    <row r="176" spans="1:3" ht="13.5" thickBot="1">
      <c r="A176" s="3">
        <v>1023652218</v>
      </c>
      <c r="B176" s="10">
        <f t="shared" ca="1" si="4"/>
        <v>82</v>
      </c>
      <c r="C176" s="5">
        <f t="shared" ca="1" si="5"/>
        <v>10.66</v>
      </c>
    </row>
    <row r="177" spans="1:3" ht="13.5" thickBot="1">
      <c r="A177" s="3">
        <f>A176+13</f>
        <v>1023652231</v>
      </c>
      <c r="B177" s="10">
        <f t="shared" ca="1" si="4"/>
        <v>308</v>
      </c>
      <c r="C177" s="5">
        <f t="shared" ca="1" si="5"/>
        <v>40.04</v>
      </c>
    </row>
    <row r="178" spans="1:3" ht="13.5" thickBot="1">
      <c r="A178" s="3">
        <v>1023652219</v>
      </c>
      <c r="B178" s="10">
        <f t="shared" ca="1" si="4"/>
        <v>102</v>
      </c>
      <c r="C178" s="5">
        <f t="shared" ca="1" si="5"/>
        <v>13.26</v>
      </c>
    </row>
    <row r="179" spans="1:3" ht="13.5" thickBot="1">
      <c r="A179" s="3">
        <f>A178+13</f>
        <v>1023652232</v>
      </c>
      <c r="B179" s="10">
        <f t="shared" ca="1" si="4"/>
        <v>222</v>
      </c>
      <c r="C179" s="5">
        <f t="shared" ca="1" si="5"/>
        <v>28.86</v>
      </c>
    </row>
    <row r="180" spans="1:3" ht="13.5" thickBot="1">
      <c r="A180" s="3">
        <v>1023652220</v>
      </c>
      <c r="B180" s="10">
        <f t="shared" ca="1" si="4"/>
        <v>169</v>
      </c>
      <c r="C180" s="5">
        <f t="shared" ca="1" si="5"/>
        <v>21.970000000000002</v>
      </c>
    </row>
    <row r="181" spans="1:3" ht="13.5" thickBot="1">
      <c r="A181" s="3">
        <f>A180+13</f>
        <v>1023652233</v>
      </c>
      <c r="B181" s="10">
        <f t="shared" ca="1" si="4"/>
        <v>316</v>
      </c>
      <c r="C181" s="5">
        <f t="shared" ca="1" si="5"/>
        <v>41.08</v>
      </c>
    </row>
    <row r="182" spans="1:3" ht="13.5" thickBot="1">
      <c r="A182" s="3">
        <v>1023652221</v>
      </c>
      <c r="B182" s="10">
        <f t="shared" ca="1" si="4"/>
        <v>287</v>
      </c>
      <c r="C182" s="5">
        <f t="shared" ca="1" si="5"/>
        <v>37.31</v>
      </c>
    </row>
    <row r="183" spans="1:3" ht="13.5" thickBot="1">
      <c r="A183" s="3">
        <f>A182+13</f>
        <v>1023652234</v>
      </c>
      <c r="B183" s="10">
        <f t="shared" ca="1" si="4"/>
        <v>205</v>
      </c>
      <c r="C183" s="5">
        <f t="shared" ca="1" si="5"/>
        <v>26.650000000000002</v>
      </c>
    </row>
    <row r="184" spans="1:3" ht="13.5" thickBot="1">
      <c r="A184" s="3">
        <v>1023652222</v>
      </c>
      <c r="B184" s="10">
        <f t="shared" ca="1" si="4"/>
        <v>89</v>
      </c>
      <c r="C184" s="5">
        <f t="shared" ca="1" si="5"/>
        <v>11.57</v>
      </c>
    </row>
    <row r="185" spans="1:3" ht="13.5" thickBot="1">
      <c r="A185" s="3">
        <f>A184+13</f>
        <v>1023652235</v>
      </c>
      <c r="B185" s="10">
        <f t="shared" ca="1" si="4"/>
        <v>122</v>
      </c>
      <c r="C185" s="5">
        <f t="shared" ca="1" si="5"/>
        <v>15.860000000000001</v>
      </c>
    </row>
    <row r="186" spans="1:3" ht="13.5" thickBot="1">
      <c r="A186" s="3">
        <v>1023652223</v>
      </c>
      <c r="B186" s="10">
        <f t="shared" ca="1" si="4"/>
        <v>144</v>
      </c>
      <c r="C186" s="5">
        <f t="shared" ca="1" si="5"/>
        <v>18.72</v>
      </c>
    </row>
    <row r="187" spans="1:3" ht="13.5" thickBot="1">
      <c r="A187" s="3">
        <f>A186+13</f>
        <v>1023652236</v>
      </c>
      <c r="B187" s="10">
        <f t="shared" ca="1" si="4"/>
        <v>330</v>
      </c>
      <c r="C187" s="5">
        <f t="shared" ca="1" si="5"/>
        <v>42.9</v>
      </c>
    </row>
    <row r="188" spans="1:3" ht="13.5" thickBot="1">
      <c r="A188" s="3">
        <v>1023652224</v>
      </c>
      <c r="B188" s="10">
        <f t="shared" ca="1" si="4"/>
        <v>333</v>
      </c>
      <c r="C188" s="5">
        <f t="shared" ca="1" si="5"/>
        <v>43.29</v>
      </c>
    </row>
    <row r="189" spans="1:3" ht="13.5" thickBot="1">
      <c r="A189" s="3">
        <f>A188+13</f>
        <v>1023652237</v>
      </c>
      <c r="B189" s="10">
        <f t="shared" ca="1" si="4"/>
        <v>146</v>
      </c>
      <c r="C189" s="5">
        <f t="shared" ca="1" si="5"/>
        <v>18.98</v>
      </c>
    </row>
    <row r="190" spans="1:3" ht="13.5" thickBot="1">
      <c r="A190" s="3">
        <v>1023652225</v>
      </c>
      <c r="B190" s="10">
        <f t="shared" ca="1" si="4"/>
        <v>140</v>
      </c>
      <c r="C190" s="5">
        <f t="shared" ca="1" si="5"/>
        <v>18.2</v>
      </c>
    </row>
    <row r="191" spans="1:3" ht="13.5" thickBot="1">
      <c r="A191" s="3">
        <f>A190+13</f>
        <v>1023652238</v>
      </c>
      <c r="B191" s="10">
        <f t="shared" ca="1" si="4"/>
        <v>121</v>
      </c>
      <c r="C191" s="5">
        <f t="shared" ca="1" si="5"/>
        <v>15.73</v>
      </c>
    </row>
    <row r="192" spans="1:3" ht="13.5" thickBot="1">
      <c r="A192" s="3">
        <v>1023652226</v>
      </c>
      <c r="B192" s="10">
        <f t="shared" ca="1" si="4"/>
        <v>115</v>
      </c>
      <c r="C192" s="5">
        <f t="shared" ca="1" si="5"/>
        <v>14.950000000000001</v>
      </c>
    </row>
    <row r="193" spans="1:3" ht="13.5" thickBot="1">
      <c r="A193" s="3">
        <f>A192+13</f>
        <v>1023652239</v>
      </c>
      <c r="B193" s="10">
        <f t="shared" ca="1" si="4"/>
        <v>107</v>
      </c>
      <c r="C193" s="5">
        <f t="shared" ca="1" si="5"/>
        <v>13.91</v>
      </c>
    </row>
    <row r="194" spans="1:3" ht="13.5" thickBot="1">
      <c r="A194" s="3">
        <v>1023652227</v>
      </c>
      <c r="B194" s="10">
        <f t="shared" ca="1" si="4"/>
        <v>142</v>
      </c>
      <c r="C194" s="5">
        <f t="shared" ca="1" si="5"/>
        <v>18.46</v>
      </c>
    </row>
    <row r="195" spans="1:3" ht="13.5" thickBot="1">
      <c r="A195" s="3">
        <f>A194+13</f>
        <v>1023652240</v>
      </c>
      <c r="B195" s="10">
        <f t="shared" ca="1" si="4"/>
        <v>352</v>
      </c>
      <c r="C195" s="5">
        <f t="shared" ca="1" si="5"/>
        <v>45.760000000000005</v>
      </c>
    </row>
    <row r="196" spans="1:3" ht="13.5" thickBot="1">
      <c r="A196" s="3">
        <v>1023652228</v>
      </c>
      <c r="B196" s="10">
        <f t="shared" ca="1" si="4"/>
        <v>69</v>
      </c>
      <c r="C196" s="5">
        <f t="shared" ca="1" si="5"/>
        <v>8.9700000000000006</v>
      </c>
    </row>
    <row r="197" spans="1:3" ht="13.5" thickBot="1">
      <c r="A197" s="3">
        <f>A196+13</f>
        <v>1023652241</v>
      </c>
      <c r="B197" s="10">
        <f t="shared" ca="1" si="4"/>
        <v>89</v>
      </c>
      <c r="C197" s="5">
        <f t="shared" ca="1" si="5"/>
        <v>11.57</v>
      </c>
    </row>
    <row r="198" spans="1:3" ht="13.5" thickBot="1">
      <c r="A198" s="3">
        <v>1023652229</v>
      </c>
      <c r="B198" s="10">
        <f t="shared" ca="1" si="4"/>
        <v>356</v>
      </c>
      <c r="C198" s="5">
        <f t="shared" ca="1" si="5"/>
        <v>46.28</v>
      </c>
    </row>
    <row r="199" spans="1:3" ht="13.5" thickBot="1">
      <c r="A199" s="3">
        <f>A198+13</f>
        <v>1023652242</v>
      </c>
      <c r="B199" s="10">
        <f t="shared" ca="1" si="4"/>
        <v>362</v>
      </c>
      <c r="C199" s="5">
        <f t="shared" ca="1" si="5"/>
        <v>47.06</v>
      </c>
    </row>
    <row r="200" spans="1:3">
      <c r="A200" s="3">
        <v>1023652230</v>
      </c>
      <c r="B200" s="10">
        <f t="shared" ca="1" si="4"/>
        <v>274</v>
      </c>
      <c r="C200" s="5">
        <f t="shared" ca="1" si="5"/>
        <v>35.620000000000005</v>
      </c>
    </row>
  </sheetData>
  <customSheetViews>
    <customSheetView guid="{F9B480CE-077C-416E-ACF9-56227F746F4A}">
      <selection activeCell="C9" sqref="C9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C9" sqref="C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ignoredErrors>
    <ignoredError sqref="B10:B11 B12:B22 B23:B200 B2" unlockedFormula="1"/>
  </ignoredErrors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H200"/>
  <sheetViews>
    <sheetView tabSelected="1" topLeftCell="A143" workbookViewId="0">
      <selection activeCell="H187" sqref="H187"/>
    </sheetView>
  </sheetViews>
  <sheetFormatPr defaultRowHeight="12.75"/>
  <cols>
    <col min="1" max="1" width="11.7109375" style="2" bestFit="1" customWidth="1"/>
    <col min="2" max="2" width="11" style="2" bestFit="1" customWidth="1"/>
    <col min="3" max="3" width="11.5703125" style="2" customWidth="1"/>
    <col min="4" max="16384" width="9.140625" style="2"/>
  </cols>
  <sheetData>
    <row r="1" spans="1:3" ht="18">
      <c r="A1" s="133" t="s">
        <v>187</v>
      </c>
      <c r="B1" s="133"/>
    </row>
    <row r="2" spans="1:3" ht="18">
      <c r="A2" s="134">
        <f ca="1">ROUND(RAND()*19+11,0)</f>
        <v>22</v>
      </c>
      <c r="B2" s="134"/>
    </row>
    <row r="3" spans="1:3">
      <c r="A3" s="6"/>
      <c r="B3" s="7"/>
    </row>
    <row r="4" spans="1:3">
      <c r="A4" s="6"/>
      <c r="B4" s="7"/>
    </row>
    <row r="5" spans="1:3">
      <c r="A5" s="6"/>
      <c r="B5" s="7"/>
    </row>
    <row r="9" spans="1:3" ht="13.5" thickBot="1">
      <c r="A9" s="94" t="s">
        <v>189</v>
      </c>
      <c r="B9" s="94" t="s">
        <v>188</v>
      </c>
      <c r="C9" s="4" t="s">
        <v>11</v>
      </c>
    </row>
    <row r="10" spans="1:3" ht="13.5" thickBot="1">
      <c r="A10" s="3">
        <v>1023652135</v>
      </c>
      <c r="B10" s="10">
        <f ca="1">ROUND(RAND()*6,0)</f>
        <v>3</v>
      </c>
      <c r="C10" s="5">
        <f ca="1">(B10*$A$2)</f>
        <v>66</v>
      </c>
    </row>
    <row r="11" spans="1:3" ht="13.5" thickBot="1">
      <c r="A11" s="3">
        <f>A10+13</f>
        <v>1023652148</v>
      </c>
      <c r="B11" s="10">
        <f t="shared" ref="B11:B74" ca="1" si="0">ROUND(RAND()*6,0)</f>
        <v>1</v>
      </c>
      <c r="C11" s="5">
        <f t="shared" ref="C11:C74" ca="1" si="1">(B11*$A$2)</f>
        <v>22</v>
      </c>
    </row>
    <row r="12" spans="1:3" ht="13.5" thickBot="1">
      <c r="A12" s="3">
        <v>1023652136</v>
      </c>
      <c r="B12" s="10">
        <f t="shared" ca="1" si="0"/>
        <v>1</v>
      </c>
      <c r="C12" s="5">
        <f t="shared" ca="1" si="1"/>
        <v>22</v>
      </c>
    </row>
    <row r="13" spans="1:3" ht="13.5" thickBot="1">
      <c r="A13" s="3">
        <f>A12+13</f>
        <v>1023652149</v>
      </c>
      <c r="B13" s="10">
        <f t="shared" ca="1" si="0"/>
        <v>0</v>
      </c>
      <c r="C13" s="5">
        <f t="shared" ca="1" si="1"/>
        <v>0</v>
      </c>
    </row>
    <row r="14" spans="1:3" ht="13.5" thickBot="1">
      <c r="A14" s="3">
        <v>1023652137</v>
      </c>
      <c r="B14" s="10">
        <f t="shared" ca="1" si="0"/>
        <v>5</v>
      </c>
      <c r="C14" s="5">
        <f t="shared" ca="1" si="1"/>
        <v>110</v>
      </c>
    </row>
    <row r="15" spans="1:3" ht="13.5" thickBot="1">
      <c r="A15" s="3">
        <f>A14+13</f>
        <v>1023652150</v>
      </c>
      <c r="B15" s="10">
        <f t="shared" ca="1" si="0"/>
        <v>4</v>
      </c>
      <c r="C15" s="5">
        <f t="shared" ca="1" si="1"/>
        <v>88</v>
      </c>
    </row>
    <row r="16" spans="1:3" ht="13.5" thickBot="1">
      <c r="A16" s="3">
        <v>1023652138</v>
      </c>
      <c r="B16" s="10">
        <f t="shared" ca="1" si="0"/>
        <v>2</v>
      </c>
      <c r="C16" s="5">
        <f t="shared" ca="1" si="1"/>
        <v>44</v>
      </c>
    </row>
    <row r="17" spans="1:8" ht="13.5" thickBot="1">
      <c r="A17" s="3">
        <f>A16+13</f>
        <v>1023652151</v>
      </c>
      <c r="B17" s="10">
        <f t="shared" ca="1" si="0"/>
        <v>0</v>
      </c>
      <c r="C17" s="5">
        <f t="shared" ca="1" si="1"/>
        <v>0</v>
      </c>
    </row>
    <row r="18" spans="1:8" ht="13.5" thickBot="1">
      <c r="A18" s="3">
        <v>1023652139</v>
      </c>
      <c r="B18" s="10">
        <f t="shared" ca="1" si="0"/>
        <v>4</v>
      </c>
      <c r="C18" s="5">
        <f t="shared" ca="1" si="1"/>
        <v>88</v>
      </c>
    </row>
    <row r="19" spans="1:8" ht="13.5" thickBot="1">
      <c r="A19" s="3">
        <f>A18+13</f>
        <v>1023652152</v>
      </c>
      <c r="B19" s="10">
        <f t="shared" ca="1" si="0"/>
        <v>1</v>
      </c>
      <c r="C19" s="5">
        <f t="shared" ca="1" si="1"/>
        <v>22</v>
      </c>
    </row>
    <row r="20" spans="1:8" ht="13.5" thickBot="1">
      <c r="A20" s="3">
        <v>1023652140</v>
      </c>
      <c r="B20" s="10">
        <f t="shared" ca="1" si="0"/>
        <v>5</v>
      </c>
      <c r="C20" s="5">
        <f t="shared" ca="1" si="1"/>
        <v>110</v>
      </c>
    </row>
    <row r="21" spans="1:8" ht="13.5" thickBot="1">
      <c r="A21" s="3">
        <f>A20+13</f>
        <v>1023652153</v>
      </c>
      <c r="B21" s="10">
        <f t="shared" ca="1" si="0"/>
        <v>2</v>
      </c>
      <c r="C21" s="5">
        <f t="shared" ca="1" si="1"/>
        <v>44</v>
      </c>
    </row>
    <row r="22" spans="1:8" ht="13.5" thickBot="1">
      <c r="A22" s="3">
        <v>1023652141</v>
      </c>
      <c r="B22" s="10">
        <f t="shared" ca="1" si="0"/>
        <v>4</v>
      </c>
      <c r="C22" s="5">
        <f t="shared" ca="1" si="1"/>
        <v>88</v>
      </c>
    </row>
    <row r="23" spans="1:8" ht="13.5" thickBot="1">
      <c r="A23" s="3">
        <f>A22+13</f>
        <v>1023652154</v>
      </c>
      <c r="B23" s="10">
        <f t="shared" ca="1" si="0"/>
        <v>6</v>
      </c>
      <c r="C23" s="5">
        <f t="shared" ca="1" si="1"/>
        <v>132</v>
      </c>
    </row>
    <row r="24" spans="1:8" ht="13.5" thickBot="1">
      <c r="A24" s="3">
        <v>1023652142</v>
      </c>
      <c r="B24" s="10">
        <f t="shared" ca="1" si="0"/>
        <v>1</v>
      </c>
      <c r="C24" s="5">
        <f t="shared" ca="1" si="1"/>
        <v>22</v>
      </c>
    </row>
    <row r="25" spans="1:8" ht="13.5" thickBot="1">
      <c r="A25" s="3">
        <f>A24+13</f>
        <v>1023652155</v>
      </c>
      <c r="B25" s="10">
        <f t="shared" ca="1" si="0"/>
        <v>1</v>
      </c>
      <c r="C25" s="5">
        <f t="shared" ca="1" si="1"/>
        <v>22</v>
      </c>
    </row>
    <row r="26" spans="1:8" ht="13.5" thickBot="1">
      <c r="A26" s="3">
        <v>1023652143</v>
      </c>
      <c r="B26" s="10">
        <f t="shared" ca="1" si="0"/>
        <v>6</v>
      </c>
      <c r="C26" s="5">
        <f t="shared" ca="1" si="1"/>
        <v>132</v>
      </c>
    </row>
    <row r="27" spans="1:8" ht="13.5" thickBot="1">
      <c r="A27" s="3">
        <f>A26+13</f>
        <v>1023652156</v>
      </c>
      <c r="B27" s="10">
        <f t="shared" ca="1" si="0"/>
        <v>0</v>
      </c>
      <c r="C27" s="5">
        <f t="shared" ca="1" si="1"/>
        <v>0</v>
      </c>
    </row>
    <row r="28" spans="1:8" ht="13.5" thickBot="1">
      <c r="A28" s="3">
        <v>1023652144</v>
      </c>
      <c r="B28" s="10">
        <f t="shared" ca="1" si="0"/>
        <v>5</v>
      </c>
      <c r="C28" s="5">
        <f t="shared" ca="1" si="1"/>
        <v>110</v>
      </c>
    </row>
    <row r="29" spans="1:8" ht="13.5" thickBot="1">
      <c r="A29" s="3">
        <f>A28+13</f>
        <v>1023652157</v>
      </c>
      <c r="B29" s="10">
        <f t="shared" ca="1" si="0"/>
        <v>1</v>
      </c>
      <c r="C29" s="5">
        <f t="shared" ca="1" si="1"/>
        <v>22</v>
      </c>
    </row>
    <row r="30" spans="1:8" ht="13.5" thickBot="1">
      <c r="A30" s="3">
        <v>1023652145</v>
      </c>
      <c r="B30" s="10">
        <f t="shared" ca="1" si="0"/>
        <v>3</v>
      </c>
      <c r="C30" s="5">
        <f t="shared" ca="1" si="1"/>
        <v>66</v>
      </c>
    </row>
    <row r="31" spans="1:8" ht="13.5" thickBot="1">
      <c r="A31" s="3">
        <f>A30+13</f>
        <v>1023652158</v>
      </c>
      <c r="B31" s="10">
        <f t="shared" ca="1" si="0"/>
        <v>5</v>
      </c>
      <c r="C31" s="5">
        <f t="shared" ca="1" si="1"/>
        <v>110</v>
      </c>
    </row>
    <row r="32" spans="1:8" ht="13.5" thickBot="1">
      <c r="A32" s="3">
        <v>1023652146</v>
      </c>
      <c r="B32" s="10">
        <f t="shared" ca="1" si="0"/>
        <v>0</v>
      </c>
      <c r="C32" s="5">
        <f t="shared" ca="1" si="1"/>
        <v>0</v>
      </c>
      <c r="H32" s="2">
        <f ca="1">(B10*$A$2)</f>
        <v>66</v>
      </c>
    </row>
    <row r="33" spans="1:3" ht="13.5" thickBot="1">
      <c r="A33" s="3">
        <f>A32+13</f>
        <v>1023652159</v>
      </c>
      <c r="B33" s="10">
        <f t="shared" ca="1" si="0"/>
        <v>5</v>
      </c>
      <c r="C33" s="5">
        <f t="shared" ca="1" si="1"/>
        <v>110</v>
      </c>
    </row>
    <row r="34" spans="1:3" ht="13.5" thickBot="1">
      <c r="A34" s="3">
        <v>1023652147</v>
      </c>
      <c r="B34" s="10">
        <f t="shared" ca="1" si="0"/>
        <v>2</v>
      </c>
      <c r="C34" s="5">
        <f t="shared" ca="1" si="1"/>
        <v>44</v>
      </c>
    </row>
    <row r="35" spans="1:3" ht="13.5" thickBot="1">
      <c r="A35" s="3">
        <f>A34+13</f>
        <v>1023652160</v>
      </c>
      <c r="B35" s="10">
        <f t="shared" ca="1" si="0"/>
        <v>2</v>
      </c>
      <c r="C35" s="5">
        <f t="shared" ca="1" si="1"/>
        <v>44</v>
      </c>
    </row>
    <row r="36" spans="1:3" ht="13.5" thickBot="1">
      <c r="A36" s="3">
        <v>1023652148</v>
      </c>
      <c r="B36" s="10">
        <f t="shared" ca="1" si="0"/>
        <v>1</v>
      </c>
      <c r="C36" s="5">
        <f t="shared" ca="1" si="1"/>
        <v>22</v>
      </c>
    </row>
    <row r="37" spans="1:3" ht="13.5" thickBot="1">
      <c r="A37" s="3">
        <f>A36+13</f>
        <v>1023652161</v>
      </c>
      <c r="B37" s="10">
        <f t="shared" ca="1" si="0"/>
        <v>4</v>
      </c>
      <c r="C37" s="5">
        <f t="shared" ca="1" si="1"/>
        <v>88</v>
      </c>
    </row>
    <row r="38" spans="1:3" ht="13.5" thickBot="1">
      <c r="A38" s="3">
        <v>1023652149</v>
      </c>
      <c r="B38" s="10">
        <f t="shared" ca="1" si="0"/>
        <v>0</v>
      </c>
      <c r="C38" s="5">
        <f t="shared" ca="1" si="1"/>
        <v>0</v>
      </c>
    </row>
    <row r="39" spans="1:3" ht="13.5" thickBot="1">
      <c r="A39" s="3">
        <f>A38+13</f>
        <v>1023652162</v>
      </c>
      <c r="B39" s="10">
        <f t="shared" ca="1" si="0"/>
        <v>1</v>
      </c>
      <c r="C39" s="5">
        <f t="shared" ca="1" si="1"/>
        <v>22</v>
      </c>
    </row>
    <row r="40" spans="1:3" ht="13.5" thickBot="1">
      <c r="A40" s="3">
        <v>1023652150</v>
      </c>
      <c r="B40" s="10">
        <f t="shared" ca="1" si="0"/>
        <v>3</v>
      </c>
      <c r="C40" s="5">
        <f t="shared" ca="1" si="1"/>
        <v>66</v>
      </c>
    </row>
    <row r="41" spans="1:3" ht="13.5" thickBot="1">
      <c r="A41" s="3">
        <f>A40+13</f>
        <v>1023652163</v>
      </c>
      <c r="B41" s="10">
        <f t="shared" ca="1" si="0"/>
        <v>4</v>
      </c>
      <c r="C41" s="5">
        <f t="shared" ca="1" si="1"/>
        <v>88</v>
      </c>
    </row>
    <row r="42" spans="1:3" ht="13.5" thickBot="1">
      <c r="A42" s="3">
        <v>1023652151</v>
      </c>
      <c r="B42" s="10">
        <f t="shared" ca="1" si="0"/>
        <v>4</v>
      </c>
      <c r="C42" s="5">
        <f t="shared" ca="1" si="1"/>
        <v>88</v>
      </c>
    </row>
    <row r="43" spans="1:3" ht="13.5" thickBot="1">
      <c r="A43" s="3">
        <f>A42+13</f>
        <v>1023652164</v>
      </c>
      <c r="B43" s="10">
        <f t="shared" ca="1" si="0"/>
        <v>5</v>
      </c>
      <c r="C43" s="5">
        <f t="shared" ca="1" si="1"/>
        <v>110</v>
      </c>
    </row>
    <row r="44" spans="1:3" ht="13.5" thickBot="1">
      <c r="A44" s="3">
        <v>1023652152</v>
      </c>
      <c r="B44" s="10">
        <f t="shared" ca="1" si="0"/>
        <v>0</v>
      </c>
      <c r="C44" s="5">
        <f t="shared" ca="1" si="1"/>
        <v>0</v>
      </c>
    </row>
    <row r="45" spans="1:3" ht="13.5" thickBot="1">
      <c r="A45" s="3">
        <f>A44+13</f>
        <v>1023652165</v>
      </c>
      <c r="B45" s="10">
        <f t="shared" ca="1" si="0"/>
        <v>4</v>
      </c>
      <c r="C45" s="5">
        <f t="shared" ca="1" si="1"/>
        <v>88</v>
      </c>
    </row>
    <row r="46" spans="1:3" ht="13.5" thickBot="1">
      <c r="A46" s="3">
        <v>1023652153</v>
      </c>
      <c r="B46" s="10">
        <f t="shared" ca="1" si="0"/>
        <v>6</v>
      </c>
      <c r="C46" s="5">
        <f t="shared" ca="1" si="1"/>
        <v>132</v>
      </c>
    </row>
    <row r="47" spans="1:3" ht="13.5" thickBot="1">
      <c r="A47" s="3">
        <f>A46+13</f>
        <v>1023652166</v>
      </c>
      <c r="B47" s="10">
        <f t="shared" ca="1" si="0"/>
        <v>6</v>
      </c>
      <c r="C47" s="5">
        <f t="shared" ca="1" si="1"/>
        <v>132</v>
      </c>
    </row>
    <row r="48" spans="1:3" ht="13.5" thickBot="1">
      <c r="A48" s="3">
        <v>1023652154</v>
      </c>
      <c r="B48" s="10">
        <f t="shared" ca="1" si="0"/>
        <v>1</v>
      </c>
      <c r="C48" s="5">
        <f ca="1">(B48*$A$2)</f>
        <v>22</v>
      </c>
    </row>
    <row r="49" spans="1:3" ht="13.5" thickBot="1">
      <c r="A49" s="3">
        <f>A48+13</f>
        <v>1023652167</v>
      </c>
      <c r="B49" s="10">
        <f t="shared" ca="1" si="0"/>
        <v>2</v>
      </c>
      <c r="C49" s="5">
        <f t="shared" ca="1" si="1"/>
        <v>44</v>
      </c>
    </row>
    <row r="50" spans="1:3" ht="13.5" thickBot="1">
      <c r="A50" s="3">
        <v>1023652155</v>
      </c>
      <c r="B50" s="10">
        <f t="shared" ca="1" si="0"/>
        <v>5</v>
      </c>
      <c r="C50" s="5">
        <f t="shared" ca="1" si="1"/>
        <v>110</v>
      </c>
    </row>
    <row r="51" spans="1:3" ht="13.5" thickBot="1">
      <c r="A51" s="3">
        <f>A50+13</f>
        <v>1023652168</v>
      </c>
      <c r="B51" s="10">
        <f t="shared" ca="1" si="0"/>
        <v>1</v>
      </c>
      <c r="C51" s="5">
        <f t="shared" ca="1" si="1"/>
        <v>22</v>
      </c>
    </row>
    <row r="52" spans="1:3" ht="13.5" thickBot="1">
      <c r="A52" s="3">
        <v>1023652156</v>
      </c>
      <c r="B52" s="10">
        <f t="shared" ca="1" si="0"/>
        <v>1</v>
      </c>
      <c r="C52" s="5">
        <f t="shared" ca="1" si="1"/>
        <v>22</v>
      </c>
    </row>
    <row r="53" spans="1:3" ht="13.5" thickBot="1">
      <c r="A53" s="3">
        <f>A52+13</f>
        <v>1023652169</v>
      </c>
      <c r="B53" s="10">
        <f t="shared" ca="1" si="0"/>
        <v>6</v>
      </c>
      <c r="C53" s="5">
        <f t="shared" ca="1" si="1"/>
        <v>132</v>
      </c>
    </row>
    <row r="54" spans="1:3" ht="13.5" thickBot="1">
      <c r="A54" s="3">
        <v>1023652157</v>
      </c>
      <c r="B54" s="10">
        <f t="shared" ca="1" si="0"/>
        <v>4</v>
      </c>
      <c r="C54" s="5">
        <f t="shared" ca="1" si="1"/>
        <v>88</v>
      </c>
    </row>
    <row r="55" spans="1:3" ht="13.5" thickBot="1">
      <c r="A55" s="3">
        <f>A54+13</f>
        <v>1023652170</v>
      </c>
      <c r="B55" s="10">
        <f t="shared" ca="1" si="0"/>
        <v>5</v>
      </c>
      <c r="C55" s="5">
        <f t="shared" ca="1" si="1"/>
        <v>110</v>
      </c>
    </row>
    <row r="56" spans="1:3" ht="13.5" thickBot="1">
      <c r="A56" s="3">
        <v>1023652158</v>
      </c>
      <c r="B56" s="10">
        <f t="shared" ca="1" si="0"/>
        <v>5</v>
      </c>
      <c r="C56" s="5">
        <f t="shared" ca="1" si="1"/>
        <v>110</v>
      </c>
    </row>
    <row r="57" spans="1:3" ht="13.5" thickBot="1">
      <c r="A57" s="3">
        <f>A56+13</f>
        <v>1023652171</v>
      </c>
      <c r="B57" s="10">
        <f t="shared" ca="1" si="0"/>
        <v>1</v>
      </c>
      <c r="C57" s="5">
        <f t="shared" ca="1" si="1"/>
        <v>22</v>
      </c>
    </row>
    <row r="58" spans="1:3" ht="13.5" thickBot="1">
      <c r="A58" s="3">
        <v>1023652159</v>
      </c>
      <c r="B58" s="10">
        <f t="shared" ca="1" si="0"/>
        <v>0</v>
      </c>
      <c r="C58" s="5">
        <f t="shared" ca="1" si="1"/>
        <v>0</v>
      </c>
    </row>
    <row r="59" spans="1:3" ht="13.5" thickBot="1">
      <c r="A59" s="3">
        <f>A58+13</f>
        <v>1023652172</v>
      </c>
      <c r="B59" s="10">
        <f t="shared" ca="1" si="0"/>
        <v>6</v>
      </c>
      <c r="C59" s="5">
        <f t="shared" ca="1" si="1"/>
        <v>132</v>
      </c>
    </row>
    <row r="60" spans="1:3" ht="13.5" thickBot="1">
      <c r="A60" s="3">
        <v>1023652160</v>
      </c>
      <c r="B60" s="10">
        <f t="shared" ca="1" si="0"/>
        <v>2</v>
      </c>
      <c r="C60" s="5">
        <f t="shared" ca="1" si="1"/>
        <v>44</v>
      </c>
    </row>
    <row r="61" spans="1:3" ht="13.5" thickBot="1">
      <c r="A61" s="3">
        <f>A60+13</f>
        <v>1023652173</v>
      </c>
      <c r="B61" s="10">
        <f t="shared" ca="1" si="0"/>
        <v>5</v>
      </c>
      <c r="C61" s="5">
        <f t="shared" ca="1" si="1"/>
        <v>110</v>
      </c>
    </row>
    <row r="62" spans="1:3" ht="13.5" thickBot="1">
      <c r="A62" s="3">
        <v>1023652161</v>
      </c>
      <c r="B62" s="10">
        <f t="shared" ca="1" si="0"/>
        <v>6</v>
      </c>
      <c r="C62" s="5">
        <f t="shared" ca="1" si="1"/>
        <v>132</v>
      </c>
    </row>
    <row r="63" spans="1:3" ht="13.5" thickBot="1">
      <c r="A63" s="3">
        <f>A62+13</f>
        <v>1023652174</v>
      </c>
      <c r="B63" s="10">
        <f t="shared" ca="1" si="0"/>
        <v>4</v>
      </c>
      <c r="C63" s="5">
        <f t="shared" ca="1" si="1"/>
        <v>88</v>
      </c>
    </row>
    <row r="64" spans="1:3" ht="13.5" thickBot="1">
      <c r="A64" s="3">
        <v>1023652162</v>
      </c>
      <c r="B64" s="10">
        <f t="shared" ca="1" si="0"/>
        <v>4</v>
      </c>
      <c r="C64" s="5">
        <f t="shared" ca="1" si="1"/>
        <v>88</v>
      </c>
    </row>
    <row r="65" spans="1:3" ht="13.5" thickBot="1">
      <c r="A65" s="3">
        <f>A64+13</f>
        <v>1023652175</v>
      </c>
      <c r="B65" s="10">
        <f t="shared" ca="1" si="0"/>
        <v>2</v>
      </c>
      <c r="C65" s="5">
        <f t="shared" ca="1" si="1"/>
        <v>44</v>
      </c>
    </row>
    <row r="66" spans="1:3" ht="13.5" thickBot="1">
      <c r="A66" s="3">
        <v>1023652163</v>
      </c>
      <c r="B66" s="10">
        <f t="shared" ca="1" si="0"/>
        <v>3</v>
      </c>
      <c r="C66" s="5">
        <f t="shared" ca="1" si="1"/>
        <v>66</v>
      </c>
    </row>
    <row r="67" spans="1:3" ht="13.5" thickBot="1">
      <c r="A67" s="3">
        <f>A66+13</f>
        <v>1023652176</v>
      </c>
      <c r="B67" s="10">
        <f t="shared" ca="1" si="0"/>
        <v>0</v>
      </c>
      <c r="C67" s="5">
        <f t="shared" ca="1" si="1"/>
        <v>0</v>
      </c>
    </row>
    <row r="68" spans="1:3" ht="13.5" thickBot="1">
      <c r="A68" s="3">
        <v>1023652164</v>
      </c>
      <c r="B68" s="10">
        <f t="shared" ca="1" si="0"/>
        <v>4</v>
      </c>
      <c r="C68" s="5">
        <f t="shared" ca="1" si="1"/>
        <v>88</v>
      </c>
    </row>
    <row r="69" spans="1:3" ht="13.5" thickBot="1">
      <c r="A69" s="3">
        <f>A68+13</f>
        <v>1023652177</v>
      </c>
      <c r="B69" s="10">
        <f t="shared" ca="1" si="0"/>
        <v>5</v>
      </c>
      <c r="C69" s="5">
        <f t="shared" ca="1" si="1"/>
        <v>110</v>
      </c>
    </row>
    <row r="70" spans="1:3" ht="13.5" thickBot="1">
      <c r="A70" s="3">
        <v>1023652165</v>
      </c>
      <c r="B70" s="10">
        <f t="shared" ca="1" si="0"/>
        <v>4</v>
      </c>
      <c r="C70" s="5">
        <f t="shared" ca="1" si="1"/>
        <v>88</v>
      </c>
    </row>
    <row r="71" spans="1:3" ht="13.5" thickBot="1">
      <c r="A71" s="3">
        <f>A70+13</f>
        <v>1023652178</v>
      </c>
      <c r="B71" s="10">
        <f t="shared" ca="1" si="0"/>
        <v>1</v>
      </c>
      <c r="C71" s="5">
        <f t="shared" ca="1" si="1"/>
        <v>22</v>
      </c>
    </row>
    <row r="72" spans="1:3" ht="13.5" thickBot="1">
      <c r="A72" s="3">
        <v>1023652166</v>
      </c>
      <c r="B72" s="10">
        <f t="shared" ca="1" si="0"/>
        <v>6</v>
      </c>
      <c r="C72" s="5">
        <f t="shared" ca="1" si="1"/>
        <v>132</v>
      </c>
    </row>
    <row r="73" spans="1:3" ht="13.5" thickBot="1">
      <c r="A73" s="3">
        <f>A72+13</f>
        <v>1023652179</v>
      </c>
      <c r="B73" s="10">
        <f t="shared" ca="1" si="0"/>
        <v>5</v>
      </c>
      <c r="C73" s="5">
        <f t="shared" ca="1" si="1"/>
        <v>110</v>
      </c>
    </row>
    <row r="74" spans="1:3" ht="13.5" thickBot="1">
      <c r="A74" s="3">
        <v>1023652167</v>
      </c>
      <c r="B74" s="10">
        <f t="shared" ca="1" si="0"/>
        <v>4</v>
      </c>
      <c r="C74" s="5">
        <f t="shared" ca="1" si="1"/>
        <v>88</v>
      </c>
    </row>
    <row r="75" spans="1:3" ht="13.5" thickBot="1">
      <c r="A75" s="3">
        <f>A74+13</f>
        <v>1023652180</v>
      </c>
      <c r="B75" s="10">
        <f t="shared" ref="B75:B138" ca="1" si="2">ROUND(RAND()*6,0)</f>
        <v>2</v>
      </c>
      <c r="C75" s="5">
        <f t="shared" ref="C75:C76" ca="1" si="3">(B75*$A$2)</f>
        <v>44</v>
      </c>
    </row>
    <row r="76" spans="1:3" ht="13.5" thickBot="1">
      <c r="A76" s="3">
        <v>1023652168</v>
      </c>
      <c r="B76" s="10">
        <f t="shared" ca="1" si="2"/>
        <v>2</v>
      </c>
      <c r="C76" s="5">
        <f t="shared" ca="1" si="3"/>
        <v>44</v>
      </c>
    </row>
    <row r="77" spans="1:3" ht="13.5" thickBot="1">
      <c r="A77" s="3">
        <f>A76+13</f>
        <v>1023652181</v>
      </c>
      <c r="B77" s="10">
        <f t="shared" ca="1" si="2"/>
        <v>0</v>
      </c>
      <c r="C77" s="5">
        <f ca="1">(B77*$A$2)</f>
        <v>0</v>
      </c>
    </row>
    <row r="78" spans="1:3" ht="13.5" thickBot="1">
      <c r="A78" s="3">
        <v>1023652169</v>
      </c>
      <c r="B78" s="10">
        <f t="shared" ca="1" si="2"/>
        <v>5</v>
      </c>
      <c r="C78" s="5">
        <f t="shared" ref="C78:C132" ca="1" si="4">(B78*$A$2)</f>
        <v>110</v>
      </c>
    </row>
    <row r="79" spans="1:3" ht="13.5" thickBot="1">
      <c r="A79" s="3">
        <f>A78+13</f>
        <v>1023652182</v>
      </c>
      <c r="B79" s="10">
        <f t="shared" ca="1" si="2"/>
        <v>6</v>
      </c>
      <c r="C79" s="5">
        <f t="shared" ca="1" si="4"/>
        <v>132</v>
      </c>
    </row>
    <row r="80" spans="1:3" ht="13.5" thickBot="1">
      <c r="A80" s="3">
        <v>1023652170</v>
      </c>
      <c r="B80" s="10">
        <f t="shared" ca="1" si="2"/>
        <v>3</v>
      </c>
      <c r="C80" s="5">
        <f t="shared" ca="1" si="4"/>
        <v>66</v>
      </c>
    </row>
    <row r="81" spans="1:3" ht="13.5" thickBot="1">
      <c r="A81" s="3">
        <f>A80+13</f>
        <v>1023652183</v>
      </c>
      <c r="B81" s="10">
        <f t="shared" ca="1" si="2"/>
        <v>3</v>
      </c>
      <c r="C81" s="5">
        <f t="shared" ca="1" si="4"/>
        <v>66</v>
      </c>
    </row>
    <row r="82" spans="1:3" ht="13.5" thickBot="1">
      <c r="A82" s="3">
        <v>1023652171</v>
      </c>
      <c r="B82" s="10">
        <f t="shared" ca="1" si="2"/>
        <v>0</v>
      </c>
      <c r="C82" s="5">
        <f t="shared" ca="1" si="4"/>
        <v>0</v>
      </c>
    </row>
    <row r="83" spans="1:3" ht="13.5" thickBot="1">
      <c r="A83" s="3">
        <f>A82+13</f>
        <v>1023652184</v>
      </c>
      <c r="B83" s="10">
        <f t="shared" ca="1" si="2"/>
        <v>2</v>
      </c>
      <c r="C83" s="5">
        <f t="shared" ca="1" si="4"/>
        <v>44</v>
      </c>
    </row>
    <row r="84" spans="1:3" ht="13.5" thickBot="1">
      <c r="A84" s="3">
        <v>1023652172</v>
      </c>
      <c r="B84" s="10">
        <f t="shared" ca="1" si="2"/>
        <v>6</v>
      </c>
      <c r="C84" s="5">
        <f t="shared" ca="1" si="4"/>
        <v>132</v>
      </c>
    </row>
    <row r="85" spans="1:3" ht="13.5" thickBot="1">
      <c r="A85" s="3">
        <f>A84+13</f>
        <v>1023652185</v>
      </c>
      <c r="B85" s="10">
        <f t="shared" ca="1" si="2"/>
        <v>0</v>
      </c>
      <c r="C85" s="5">
        <f t="shared" ca="1" si="4"/>
        <v>0</v>
      </c>
    </row>
    <row r="86" spans="1:3" ht="13.5" thickBot="1">
      <c r="A86" s="3">
        <v>1023652173</v>
      </c>
      <c r="B86" s="10">
        <f t="shared" ca="1" si="2"/>
        <v>6</v>
      </c>
      <c r="C86" s="5">
        <f t="shared" ca="1" si="4"/>
        <v>132</v>
      </c>
    </row>
    <row r="87" spans="1:3" ht="13.5" thickBot="1">
      <c r="A87" s="3">
        <f>A86+13</f>
        <v>1023652186</v>
      </c>
      <c r="B87" s="10">
        <f t="shared" ca="1" si="2"/>
        <v>4</v>
      </c>
      <c r="C87" s="5">
        <f t="shared" ca="1" si="4"/>
        <v>88</v>
      </c>
    </row>
    <row r="88" spans="1:3" ht="13.5" thickBot="1">
      <c r="A88" s="3">
        <v>1023652174</v>
      </c>
      <c r="B88" s="10">
        <f t="shared" ca="1" si="2"/>
        <v>0</v>
      </c>
      <c r="C88" s="5">
        <f t="shared" ca="1" si="4"/>
        <v>0</v>
      </c>
    </row>
    <row r="89" spans="1:3" ht="13.5" thickBot="1">
      <c r="A89" s="3">
        <f>A88+13</f>
        <v>1023652187</v>
      </c>
      <c r="B89" s="10">
        <f t="shared" ca="1" si="2"/>
        <v>4</v>
      </c>
      <c r="C89" s="5">
        <f t="shared" ca="1" si="4"/>
        <v>88</v>
      </c>
    </row>
    <row r="90" spans="1:3" ht="13.5" thickBot="1">
      <c r="A90" s="3">
        <v>1023652175</v>
      </c>
      <c r="B90" s="10">
        <f t="shared" ca="1" si="2"/>
        <v>4</v>
      </c>
      <c r="C90" s="5">
        <f t="shared" ca="1" si="4"/>
        <v>88</v>
      </c>
    </row>
    <row r="91" spans="1:3" ht="13.5" thickBot="1">
      <c r="A91" s="3">
        <f>A90+13</f>
        <v>1023652188</v>
      </c>
      <c r="B91" s="10">
        <f t="shared" ca="1" si="2"/>
        <v>1</v>
      </c>
      <c r="C91" s="5">
        <f t="shared" ca="1" si="4"/>
        <v>22</v>
      </c>
    </row>
    <row r="92" spans="1:3" ht="13.5" thickBot="1">
      <c r="A92" s="3">
        <v>1023652176</v>
      </c>
      <c r="B92" s="10">
        <f t="shared" ca="1" si="2"/>
        <v>2</v>
      </c>
      <c r="C92" s="5">
        <f t="shared" ca="1" si="4"/>
        <v>44</v>
      </c>
    </row>
    <row r="93" spans="1:3" ht="13.5" thickBot="1">
      <c r="A93" s="3">
        <f>A92+13</f>
        <v>1023652189</v>
      </c>
      <c r="B93" s="10">
        <f t="shared" ca="1" si="2"/>
        <v>1</v>
      </c>
      <c r="C93" s="5">
        <f t="shared" ca="1" si="4"/>
        <v>22</v>
      </c>
    </row>
    <row r="94" spans="1:3" ht="13.5" thickBot="1">
      <c r="A94" s="3">
        <v>1023652177</v>
      </c>
      <c r="B94" s="10">
        <f t="shared" ca="1" si="2"/>
        <v>5</v>
      </c>
      <c r="C94" s="5">
        <f t="shared" ca="1" si="4"/>
        <v>110</v>
      </c>
    </row>
    <row r="95" spans="1:3" ht="13.5" thickBot="1">
      <c r="A95" s="3">
        <f>A94+13</f>
        <v>1023652190</v>
      </c>
      <c r="B95" s="10">
        <f t="shared" ca="1" si="2"/>
        <v>4</v>
      </c>
      <c r="C95" s="5">
        <f t="shared" ca="1" si="4"/>
        <v>88</v>
      </c>
    </row>
    <row r="96" spans="1:3" ht="13.5" thickBot="1">
      <c r="A96" s="3">
        <v>1023652178</v>
      </c>
      <c r="B96" s="10">
        <f t="shared" ca="1" si="2"/>
        <v>4</v>
      </c>
      <c r="C96" s="5">
        <f t="shared" ca="1" si="4"/>
        <v>88</v>
      </c>
    </row>
    <row r="97" spans="1:3" ht="13.5" thickBot="1">
      <c r="A97" s="3">
        <f>A96+13</f>
        <v>1023652191</v>
      </c>
      <c r="B97" s="10">
        <f t="shared" ca="1" si="2"/>
        <v>6</v>
      </c>
      <c r="C97" s="5">
        <f t="shared" ca="1" si="4"/>
        <v>132</v>
      </c>
    </row>
    <row r="98" spans="1:3" ht="13.5" thickBot="1">
      <c r="A98" s="3">
        <v>1023652179</v>
      </c>
      <c r="B98" s="10">
        <f t="shared" ca="1" si="2"/>
        <v>2</v>
      </c>
      <c r="C98" s="5">
        <f t="shared" ca="1" si="4"/>
        <v>44</v>
      </c>
    </row>
    <row r="99" spans="1:3" ht="13.5" thickBot="1">
      <c r="A99" s="3">
        <f>A98+13</f>
        <v>1023652192</v>
      </c>
      <c r="B99" s="10">
        <f t="shared" ca="1" si="2"/>
        <v>3</v>
      </c>
      <c r="C99" s="5">
        <f t="shared" ca="1" si="4"/>
        <v>66</v>
      </c>
    </row>
    <row r="100" spans="1:3" ht="13.5" thickBot="1">
      <c r="A100" s="3">
        <v>1023652180</v>
      </c>
      <c r="B100" s="10">
        <f t="shared" ca="1" si="2"/>
        <v>1</v>
      </c>
      <c r="C100" s="5">
        <f t="shared" ca="1" si="4"/>
        <v>22</v>
      </c>
    </row>
    <row r="101" spans="1:3" ht="13.5" thickBot="1">
      <c r="A101" s="3">
        <f>A100+13</f>
        <v>1023652193</v>
      </c>
      <c r="B101" s="10">
        <f t="shared" ca="1" si="2"/>
        <v>1</v>
      </c>
      <c r="C101" s="5">
        <f t="shared" ca="1" si="4"/>
        <v>22</v>
      </c>
    </row>
    <row r="102" spans="1:3" ht="13.5" thickBot="1">
      <c r="A102" s="3">
        <v>1023652181</v>
      </c>
      <c r="B102" s="10">
        <f t="shared" ca="1" si="2"/>
        <v>4</v>
      </c>
      <c r="C102" s="5">
        <f t="shared" ca="1" si="4"/>
        <v>88</v>
      </c>
    </row>
    <row r="103" spans="1:3" ht="13.5" thickBot="1">
      <c r="A103" s="3">
        <f>A102+13</f>
        <v>1023652194</v>
      </c>
      <c r="B103" s="10">
        <f t="shared" ca="1" si="2"/>
        <v>6</v>
      </c>
      <c r="C103" s="5">
        <f t="shared" ca="1" si="4"/>
        <v>132</v>
      </c>
    </row>
    <row r="104" spans="1:3" ht="13.5" thickBot="1">
      <c r="A104" s="3">
        <v>1023652182</v>
      </c>
      <c r="B104" s="10">
        <f t="shared" ca="1" si="2"/>
        <v>2</v>
      </c>
      <c r="C104" s="5">
        <f t="shared" ca="1" si="4"/>
        <v>44</v>
      </c>
    </row>
    <row r="105" spans="1:3" ht="13.5" thickBot="1">
      <c r="A105" s="3">
        <f>A104+13</f>
        <v>1023652195</v>
      </c>
      <c r="B105" s="10">
        <f t="shared" ca="1" si="2"/>
        <v>3</v>
      </c>
      <c r="C105" s="5">
        <f t="shared" ca="1" si="4"/>
        <v>66</v>
      </c>
    </row>
    <row r="106" spans="1:3" ht="13.5" thickBot="1">
      <c r="A106" s="3">
        <v>1023652183</v>
      </c>
      <c r="B106" s="10">
        <f t="shared" ca="1" si="2"/>
        <v>0</v>
      </c>
      <c r="C106" s="5">
        <f t="shared" ca="1" si="4"/>
        <v>0</v>
      </c>
    </row>
    <row r="107" spans="1:3" ht="13.5" thickBot="1">
      <c r="A107" s="3">
        <f>A106+13</f>
        <v>1023652196</v>
      </c>
      <c r="B107" s="10">
        <f t="shared" ca="1" si="2"/>
        <v>3</v>
      </c>
      <c r="C107" s="5">
        <f t="shared" ca="1" si="4"/>
        <v>66</v>
      </c>
    </row>
    <row r="108" spans="1:3" ht="13.5" thickBot="1">
      <c r="A108" s="3">
        <v>1023652184</v>
      </c>
      <c r="B108" s="10">
        <f t="shared" ca="1" si="2"/>
        <v>5</v>
      </c>
      <c r="C108" s="5">
        <f t="shared" ca="1" si="4"/>
        <v>110</v>
      </c>
    </row>
    <row r="109" spans="1:3" ht="13.5" thickBot="1">
      <c r="A109" s="3">
        <f>A108+13</f>
        <v>1023652197</v>
      </c>
      <c r="B109" s="10">
        <f t="shared" ca="1" si="2"/>
        <v>4</v>
      </c>
      <c r="C109" s="5">
        <f t="shared" ca="1" si="4"/>
        <v>88</v>
      </c>
    </row>
    <row r="110" spans="1:3" ht="13.5" thickBot="1">
      <c r="A110" s="3">
        <v>1023652185</v>
      </c>
      <c r="B110" s="10">
        <f t="shared" ca="1" si="2"/>
        <v>4</v>
      </c>
      <c r="C110" s="5">
        <f t="shared" ca="1" si="4"/>
        <v>88</v>
      </c>
    </row>
    <row r="111" spans="1:3" ht="13.5" thickBot="1">
      <c r="A111" s="3">
        <f>A110+13</f>
        <v>1023652198</v>
      </c>
      <c r="B111" s="10">
        <f t="shared" ca="1" si="2"/>
        <v>4</v>
      </c>
      <c r="C111" s="5">
        <f t="shared" ca="1" si="4"/>
        <v>88</v>
      </c>
    </row>
    <row r="112" spans="1:3" ht="13.5" thickBot="1">
      <c r="A112" s="3">
        <v>1023652186</v>
      </c>
      <c r="B112" s="10">
        <f t="shared" ca="1" si="2"/>
        <v>3</v>
      </c>
      <c r="C112" s="5">
        <f t="shared" ca="1" si="4"/>
        <v>66</v>
      </c>
    </row>
    <row r="113" spans="1:3" ht="13.5" thickBot="1">
      <c r="A113" s="3">
        <f>A112+13</f>
        <v>1023652199</v>
      </c>
      <c r="B113" s="10">
        <f t="shared" ca="1" si="2"/>
        <v>3</v>
      </c>
      <c r="C113" s="5">
        <f t="shared" ca="1" si="4"/>
        <v>66</v>
      </c>
    </row>
    <row r="114" spans="1:3" ht="13.5" thickBot="1">
      <c r="A114" s="3">
        <v>1023652187</v>
      </c>
      <c r="B114" s="10">
        <f t="shared" ca="1" si="2"/>
        <v>4</v>
      </c>
      <c r="C114" s="5">
        <f t="shared" ca="1" si="4"/>
        <v>88</v>
      </c>
    </row>
    <row r="115" spans="1:3" ht="13.5" thickBot="1">
      <c r="A115" s="3">
        <f>A114+13</f>
        <v>1023652200</v>
      </c>
      <c r="B115" s="10">
        <f t="shared" ca="1" si="2"/>
        <v>3</v>
      </c>
      <c r="C115" s="5">
        <f ca="1">(B115*$A$2)</f>
        <v>66</v>
      </c>
    </row>
    <row r="116" spans="1:3" ht="13.5" thickBot="1">
      <c r="A116" s="3">
        <v>1023652188</v>
      </c>
      <c r="B116" s="10">
        <f t="shared" ca="1" si="2"/>
        <v>2</v>
      </c>
      <c r="C116" s="5">
        <f t="shared" ca="1" si="4"/>
        <v>44</v>
      </c>
    </row>
    <row r="117" spans="1:3" ht="13.5" thickBot="1">
      <c r="A117" s="3">
        <f>A116+13</f>
        <v>1023652201</v>
      </c>
      <c r="B117" s="10">
        <f t="shared" ca="1" si="2"/>
        <v>3</v>
      </c>
      <c r="C117" s="5">
        <f t="shared" ca="1" si="4"/>
        <v>66</v>
      </c>
    </row>
    <row r="118" spans="1:3" ht="13.5" thickBot="1">
      <c r="A118" s="3">
        <v>1023652189</v>
      </c>
      <c r="B118" s="10">
        <f t="shared" ca="1" si="2"/>
        <v>5</v>
      </c>
      <c r="C118" s="5">
        <f t="shared" ca="1" si="4"/>
        <v>110</v>
      </c>
    </row>
    <row r="119" spans="1:3" ht="13.5" thickBot="1">
      <c r="A119" s="3">
        <f>A118+13</f>
        <v>1023652202</v>
      </c>
      <c r="B119" s="10">
        <f t="shared" ca="1" si="2"/>
        <v>1</v>
      </c>
      <c r="C119" s="5">
        <f t="shared" ca="1" si="4"/>
        <v>22</v>
      </c>
    </row>
    <row r="120" spans="1:3" ht="13.5" thickBot="1">
      <c r="A120" s="3">
        <v>1023652190</v>
      </c>
      <c r="B120" s="10">
        <f t="shared" ca="1" si="2"/>
        <v>1</v>
      </c>
      <c r="C120" s="5">
        <f t="shared" ca="1" si="4"/>
        <v>22</v>
      </c>
    </row>
    <row r="121" spans="1:3" ht="13.5" thickBot="1">
      <c r="A121" s="3">
        <f>A120+13</f>
        <v>1023652203</v>
      </c>
      <c r="B121" s="10">
        <f t="shared" ca="1" si="2"/>
        <v>5</v>
      </c>
      <c r="C121" s="5">
        <f t="shared" ca="1" si="4"/>
        <v>110</v>
      </c>
    </row>
    <row r="122" spans="1:3" ht="13.5" thickBot="1">
      <c r="A122" s="3">
        <v>1023652191</v>
      </c>
      <c r="B122" s="10">
        <f t="shared" ca="1" si="2"/>
        <v>5</v>
      </c>
      <c r="C122" s="5">
        <f t="shared" ca="1" si="4"/>
        <v>110</v>
      </c>
    </row>
    <row r="123" spans="1:3" ht="13.5" thickBot="1">
      <c r="A123" s="3">
        <f>A122+13</f>
        <v>1023652204</v>
      </c>
      <c r="B123" s="10">
        <f t="shared" ca="1" si="2"/>
        <v>4</v>
      </c>
      <c r="C123" s="5">
        <f t="shared" ca="1" si="4"/>
        <v>88</v>
      </c>
    </row>
    <row r="124" spans="1:3" ht="13.5" thickBot="1">
      <c r="A124" s="3">
        <v>1023652192</v>
      </c>
      <c r="B124" s="10">
        <f t="shared" ca="1" si="2"/>
        <v>6</v>
      </c>
      <c r="C124" s="5">
        <f t="shared" ca="1" si="4"/>
        <v>132</v>
      </c>
    </row>
    <row r="125" spans="1:3" ht="13.5" thickBot="1">
      <c r="A125" s="3">
        <f>A124+13</f>
        <v>1023652205</v>
      </c>
      <c r="B125" s="10">
        <f t="shared" ca="1" si="2"/>
        <v>5</v>
      </c>
      <c r="C125" s="5">
        <f t="shared" ca="1" si="4"/>
        <v>110</v>
      </c>
    </row>
    <row r="126" spans="1:3" ht="13.5" thickBot="1">
      <c r="A126" s="3">
        <v>1023652193</v>
      </c>
      <c r="B126" s="10">
        <f t="shared" ca="1" si="2"/>
        <v>1</v>
      </c>
      <c r="C126" s="5">
        <f t="shared" ca="1" si="4"/>
        <v>22</v>
      </c>
    </row>
    <row r="127" spans="1:3" ht="13.5" thickBot="1">
      <c r="A127" s="3">
        <f>A126+13</f>
        <v>1023652206</v>
      </c>
      <c r="B127" s="10">
        <f t="shared" ca="1" si="2"/>
        <v>5</v>
      </c>
      <c r="C127" s="5">
        <f t="shared" ca="1" si="4"/>
        <v>110</v>
      </c>
    </row>
    <row r="128" spans="1:3" ht="13.5" thickBot="1">
      <c r="A128" s="3">
        <v>1023652194</v>
      </c>
      <c r="B128" s="10">
        <f t="shared" ca="1" si="2"/>
        <v>1</v>
      </c>
      <c r="C128" s="5">
        <f t="shared" ca="1" si="4"/>
        <v>22</v>
      </c>
    </row>
    <row r="129" spans="1:3" ht="13.5" thickBot="1">
      <c r="A129" s="3">
        <f>A128+13</f>
        <v>1023652207</v>
      </c>
      <c r="B129" s="10">
        <f t="shared" ca="1" si="2"/>
        <v>5</v>
      </c>
      <c r="C129" s="5">
        <f t="shared" ca="1" si="4"/>
        <v>110</v>
      </c>
    </row>
    <row r="130" spans="1:3" ht="13.5" thickBot="1">
      <c r="A130" s="3">
        <v>1023652195</v>
      </c>
      <c r="B130" s="10">
        <f t="shared" ca="1" si="2"/>
        <v>6</v>
      </c>
      <c r="C130" s="5">
        <f t="shared" ca="1" si="4"/>
        <v>132</v>
      </c>
    </row>
    <row r="131" spans="1:3" ht="13.5" thickBot="1">
      <c r="A131" s="3">
        <f>A130+13</f>
        <v>1023652208</v>
      </c>
      <c r="B131" s="10">
        <f t="shared" ca="1" si="2"/>
        <v>1</v>
      </c>
      <c r="C131" s="5">
        <f t="shared" ca="1" si="4"/>
        <v>22</v>
      </c>
    </row>
    <row r="132" spans="1:3" ht="13.5" thickBot="1">
      <c r="A132" s="3">
        <v>1023652196</v>
      </c>
      <c r="B132" s="10">
        <f t="shared" ca="1" si="2"/>
        <v>4</v>
      </c>
      <c r="C132" s="5">
        <f t="shared" ca="1" si="4"/>
        <v>88</v>
      </c>
    </row>
    <row r="133" spans="1:3" ht="13.5" thickBot="1">
      <c r="A133" s="3">
        <f>A132+13</f>
        <v>1023652209</v>
      </c>
      <c r="B133" s="10">
        <f t="shared" ca="1" si="2"/>
        <v>5</v>
      </c>
      <c r="C133" s="5">
        <f ca="1">(B133*$A$2)</f>
        <v>110</v>
      </c>
    </row>
    <row r="134" spans="1:3" ht="13.5" thickBot="1">
      <c r="A134" s="3">
        <v>1023652197</v>
      </c>
      <c r="B134" s="10">
        <f t="shared" ca="1" si="2"/>
        <v>2</v>
      </c>
      <c r="C134" s="5">
        <f t="shared" ref="C134:C174" ca="1" si="5">(B134*$A$2)</f>
        <v>44</v>
      </c>
    </row>
    <row r="135" spans="1:3" ht="13.5" thickBot="1">
      <c r="A135" s="3">
        <f>A134+13</f>
        <v>1023652210</v>
      </c>
      <c r="B135" s="10">
        <f t="shared" ca="1" si="2"/>
        <v>6</v>
      </c>
      <c r="C135" s="5">
        <f t="shared" ca="1" si="5"/>
        <v>132</v>
      </c>
    </row>
    <row r="136" spans="1:3" ht="13.5" thickBot="1">
      <c r="A136" s="3">
        <v>1023652198</v>
      </c>
      <c r="B136" s="10">
        <f t="shared" ca="1" si="2"/>
        <v>4</v>
      </c>
      <c r="C136" s="5">
        <f t="shared" ca="1" si="5"/>
        <v>88</v>
      </c>
    </row>
    <row r="137" spans="1:3" ht="13.5" thickBot="1">
      <c r="A137" s="3">
        <f>A136+13</f>
        <v>1023652211</v>
      </c>
      <c r="B137" s="10">
        <f t="shared" ca="1" si="2"/>
        <v>6</v>
      </c>
      <c r="C137" s="5">
        <f t="shared" ca="1" si="5"/>
        <v>132</v>
      </c>
    </row>
    <row r="138" spans="1:3" ht="13.5" thickBot="1">
      <c r="A138" s="3">
        <v>1023652199</v>
      </c>
      <c r="B138" s="10">
        <f t="shared" ca="1" si="2"/>
        <v>2</v>
      </c>
      <c r="C138" s="5">
        <f t="shared" ca="1" si="5"/>
        <v>44</v>
      </c>
    </row>
    <row r="139" spans="1:3" ht="13.5" thickBot="1">
      <c r="A139" s="3">
        <f>A138+13</f>
        <v>1023652212</v>
      </c>
      <c r="B139" s="10">
        <f t="shared" ref="B139:B200" ca="1" si="6">ROUND(RAND()*6,0)</f>
        <v>5</v>
      </c>
      <c r="C139" s="5">
        <f t="shared" ca="1" si="5"/>
        <v>110</v>
      </c>
    </row>
    <row r="140" spans="1:3" ht="13.5" thickBot="1">
      <c r="A140" s="3">
        <v>1023652200</v>
      </c>
      <c r="B140" s="10">
        <f t="shared" ca="1" si="6"/>
        <v>4</v>
      </c>
      <c r="C140" s="5">
        <f t="shared" ca="1" si="5"/>
        <v>88</v>
      </c>
    </row>
    <row r="141" spans="1:3" ht="13.5" thickBot="1">
      <c r="A141" s="3">
        <f>A140+13</f>
        <v>1023652213</v>
      </c>
      <c r="B141" s="10">
        <f t="shared" ca="1" si="6"/>
        <v>0</v>
      </c>
      <c r="C141" s="5">
        <f t="shared" ca="1" si="5"/>
        <v>0</v>
      </c>
    </row>
    <row r="142" spans="1:3" ht="13.5" thickBot="1">
      <c r="A142" s="3">
        <v>1023652201</v>
      </c>
      <c r="B142" s="10">
        <f t="shared" ca="1" si="6"/>
        <v>0</v>
      </c>
      <c r="C142" s="5">
        <f t="shared" ca="1" si="5"/>
        <v>0</v>
      </c>
    </row>
    <row r="143" spans="1:3" ht="13.5" thickBot="1">
      <c r="A143" s="3">
        <f>A142+13</f>
        <v>1023652214</v>
      </c>
      <c r="B143" s="10">
        <f t="shared" ca="1" si="6"/>
        <v>1</v>
      </c>
      <c r="C143" s="5">
        <f t="shared" ca="1" si="5"/>
        <v>22</v>
      </c>
    </row>
    <row r="144" spans="1:3" ht="13.5" thickBot="1">
      <c r="A144" s="3">
        <v>1023652202</v>
      </c>
      <c r="B144" s="10">
        <f t="shared" ca="1" si="6"/>
        <v>2</v>
      </c>
      <c r="C144" s="5">
        <f t="shared" ca="1" si="5"/>
        <v>44</v>
      </c>
    </row>
    <row r="145" spans="1:3" ht="13.5" thickBot="1">
      <c r="A145" s="3">
        <f>A144+13</f>
        <v>1023652215</v>
      </c>
      <c r="B145" s="10">
        <f t="shared" ca="1" si="6"/>
        <v>2</v>
      </c>
      <c r="C145" s="5">
        <f t="shared" ca="1" si="5"/>
        <v>44</v>
      </c>
    </row>
    <row r="146" spans="1:3" ht="13.5" thickBot="1">
      <c r="A146" s="3">
        <v>1023652203</v>
      </c>
      <c r="B146" s="10">
        <f t="shared" ca="1" si="6"/>
        <v>3</v>
      </c>
      <c r="C146" s="5">
        <f t="shared" ca="1" si="5"/>
        <v>66</v>
      </c>
    </row>
    <row r="147" spans="1:3" ht="13.5" thickBot="1">
      <c r="A147" s="3">
        <f>A146+13</f>
        <v>1023652216</v>
      </c>
      <c r="B147" s="10">
        <f t="shared" ca="1" si="6"/>
        <v>1</v>
      </c>
      <c r="C147" s="5">
        <f t="shared" ca="1" si="5"/>
        <v>22</v>
      </c>
    </row>
    <row r="148" spans="1:3" ht="13.5" thickBot="1">
      <c r="A148" s="3">
        <v>1023652204</v>
      </c>
      <c r="B148" s="10">
        <f t="shared" ca="1" si="6"/>
        <v>2</v>
      </c>
      <c r="C148" s="5">
        <f t="shared" ca="1" si="5"/>
        <v>44</v>
      </c>
    </row>
    <row r="149" spans="1:3" ht="13.5" thickBot="1">
      <c r="A149" s="3">
        <f>A148+13</f>
        <v>1023652217</v>
      </c>
      <c r="B149" s="10">
        <f t="shared" ca="1" si="6"/>
        <v>0</v>
      </c>
      <c r="C149" s="5">
        <f t="shared" ca="1" si="5"/>
        <v>0</v>
      </c>
    </row>
    <row r="150" spans="1:3" ht="13.5" thickBot="1">
      <c r="A150" s="3">
        <v>1023652205</v>
      </c>
      <c r="B150" s="10">
        <f t="shared" ca="1" si="6"/>
        <v>4</v>
      </c>
      <c r="C150" s="5">
        <f t="shared" ca="1" si="5"/>
        <v>88</v>
      </c>
    </row>
    <row r="151" spans="1:3" ht="13.5" thickBot="1">
      <c r="A151" s="3">
        <f>A150+13</f>
        <v>1023652218</v>
      </c>
      <c r="B151" s="10">
        <f t="shared" ca="1" si="6"/>
        <v>2</v>
      </c>
      <c r="C151" s="5">
        <f t="shared" ca="1" si="5"/>
        <v>44</v>
      </c>
    </row>
    <row r="152" spans="1:3" ht="13.5" thickBot="1">
      <c r="A152" s="3">
        <v>1023652206</v>
      </c>
      <c r="B152" s="10">
        <f t="shared" ca="1" si="6"/>
        <v>1</v>
      </c>
      <c r="C152" s="5">
        <f t="shared" ca="1" si="5"/>
        <v>22</v>
      </c>
    </row>
    <row r="153" spans="1:3" ht="13.5" thickBot="1">
      <c r="A153" s="3">
        <f>A152+13</f>
        <v>1023652219</v>
      </c>
      <c r="B153" s="10">
        <f t="shared" ca="1" si="6"/>
        <v>2</v>
      </c>
      <c r="C153" s="5">
        <f t="shared" ca="1" si="5"/>
        <v>44</v>
      </c>
    </row>
    <row r="154" spans="1:3" ht="13.5" thickBot="1">
      <c r="A154" s="3">
        <v>1023652207</v>
      </c>
      <c r="B154" s="10">
        <f t="shared" ca="1" si="6"/>
        <v>1</v>
      </c>
      <c r="C154" s="5">
        <f t="shared" ca="1" si="5"/>
        <v>22</v>
      </c>
    </row>
    <row r="155" spans="1:3" ht="13.5" thickBot="1">
      <c r="A155" s="3">
        <f>A154+13</f>
        <v>1023652220</v>
      </c>
      <c r="B155" s="10">
        <f t="shared" ca="1" si="6"/>
        <v>4</v>
      </c>
      <c r="C155" s="5">
        <f t="shared" ca="1" si="5"/>
        <v>88</v>
      </c>
    </row>
    <row r="156" spans="1:3" ht="13.5" thickBot="1">
      <c r="A156" s="3">
        <v>1023652208</v>
      </c>
      <c r="B156" s="10">
        <f t="shared" ca="1" si="6"/>
        <v>1</v>
      </c>
      <c r="C156" s="5">
        <f t="shared" ca="1" si="5"/>
        <v>22</v>
      </c>
    </row>
    <row r="157" spans="1:3" ht="13.5" thickBot="1">
      <c r="A157" s="3">
        <f>A156+13</f>
        <v>1023652221</v>
      </c>
      <c r="B157" s="10">
        <f t="shared" ca="1" si="6"/>
        <v>3</v>
      </c>
      <c r="C157" s="5">
        <f t="shared" ca="1" si="5"/>
        <v>66</v>
      </c>
    </row>
    <row r="158" spans="1:3" ht="13.5" thickBot="1">
      <c r="A158" s="3">
        <v>1023652209</v>
      </c>
      <c r="B158" s="10">
        <f t="shared" ca="1" si="6"/>
        <v>6</v>
      </c>
      <c r="C158" s="5">
        <f t="shared" ca="1" si="5"/>
        <v>132</v>
      </c>
    </row>
    <row r="159" spans="1:3" ht="13.5" thickBot="1">
      <c r="A159" s="3">
        <f>A158+13</f>
        <v>1023652222</v>
      </c>
      <c r="B159" s="10">
        <f t="shared" ca="1" si="6"/>
        <v>3</v>
      </c>
      <c r="C159" s="5">
        <f t="shared" ca="1" si="5"/>
        <v>66</v>
      </c>
    </row>
    <row r="160" spans="1:3" ht="13.5" thickBot="1">
      <c r="A160" s="3">
        <v>1023652210</v>
      </c>
      <c r="B160" s="10">
        <f t="shared" ca="1" si="6"/>
        <v>0</v>
      </c>
      <c r="C160" s="5">
        <f t="shared" ca="1" si="5"/>
        <v>0</v>
      </c>
    </row>
    <row r="161" spans="1:3" ht="13.5" thickBot="1">
      <c r="A161" s="3">
        <f>A160+13</f>
        <v>1023652223</v>
      </c>
      <c r="B161" s="10">
        <f t="shared" ca="1" si="6"/>
        <v>2</v>
      </c>
      <c r="C161" s="5">
        <f t="shared" ca="1" si="5"/>
        <v>44</v>
      </c>
    </row>
    <row r="162" spans="1:3" ht="13.5" thickBot="1">
      <c r="A162" s="3">
        <v>1023652211</v>
      </c>
      <c r="B162" s="10">
        <f t="shared" ca="1" si="6"/>
        <v>0</v>
      </c>
      <c r="C162" s="5">
        <f t="shared" ca="1" si="5"/>
        <v>0</v>
      </c>
    </row>
    <row r="163" spans="1:3" ht="13.5" thickBot="1">
      <c r="A163" s="3">
        <f>A162+13</f>
        <v>1023652224</v>
      </c>
      <c r="B163" s="10">
        <f t="shared" ca="1" si="6"/>
        <v>4</v>
      </c>
      <c r="C163" s="5">
        <f t="shared" ca="1" si="5"/>
        <v>88</v>
      </c>
    </row>
    <row r="164" spans="1:3" ht="13.5" thickBot="1">
      <c r="A164" s="3">
        <v>1023652212</v>
      </c>
      <c r="B164" s="10">
        <f t="shared" ca="1" si="6"/>
        <v>3</v>
      </c>
      <c r="C164" s="5">
        <f t="shared" ca="1" si="5"/>
        <v>66</v>
      </c>
    </row>
    <row r="165" spans="1:3" ht="13.5" thickBot="1">
      <c r="A165" s="3">
        <f>A164+13</f>
        <v>1023652225</v>
      </c>
      <c r="B165" s="10">
        <f t="shared" ca="1" si="6"/>
        <v>2</v>
      </c>
      <c r="C165" s="5">
        <f t="shared" ca="1" si="5"/>
        <v>44</v>
      </c>
    </row>
    <row r="166" spans="1:3" ht="13.5" thickBot="1">
      <c r="A166" s="3">
        <v>1023652213</v>
      </c>
      <c r="B166" s="10">
        <f t="shared" ca="1" si="6"/>
        <v>4</v>
      </c>
      <c r="C166" s="5">
        <f t="shared" ca="1" si="5"/>
        <v>88</v>
      </c>
    </row>
    <row r="167" spans="1:3" ht="13.5" thickBot="1">
      <c r="A167" s="3">
        <f>A166+13</f>
        <v>1023652226</v>
      </c>
      <c r="B167" s="10">
        <f t="shared" ca="1" si="6"/>
        <v>5</v>
      </c>
      <c r="C167" s="5">
        <f t="shared" ca="1" si="5"/>
        <v>110</v>
      </c>
    </row>
    <row r="168" spans="1:3" ht="13.5" thickBot="1">
      <c r="A168" s="3">
        <v>1023652214</v>
      </c>
      <c r="B168" s="10">
        <f t="shared" ca="1" si="6"/>
        <v>5</v>
      </c>
      <c r="C168" s="5">
        <f t="shared" ca="1" si="5"/>
        <v>110</v>
      </c>
    </row>
    <row r="169" spans="1:3" ht="13.5" thickBot="1">
      <c r="A169" s="3">
        <f>A168+13</f>
        <v>1023652227</v>
      </c>
      <c r="B169" s="10">
        <f t="shared" ca="1" si="6"/>
        <v>5</v>
      </c>
      <c r="C169" s="5">
        <f t="shared" ca="1" si="5"/>
        <v>110</v>
      </c>
    </row>
    <row r="170" spans="1:3" ht="13.5" thickBot="1">
      <c r="A170" s="3">
        <v>1023652215</v>
      </c>
      <c r="B170" s="10">
        <f t="shared" ca="1" si="6"/>
        <v>3</v>
      </c>
      <c r="C170" s="5">
        <f t="shared" ca="1" si="5"/>
        <v>66</v>
      </c>
    </row>
    <row r="171" spans="1:3" ht="13.5" thickBot="1">
      <c r="A171" s="3">
        <f>A170+13</f>
        <v>1023652228</v>
      </c>
      <c r="B171" s="10">
        <f t="shared" ca="1" si="6"/>
        <v>2</v>
      </c>
      <c r="C171" s="5">
        <f ca="1">(B171*$A$2)</f>
        <v>44</v>
      </c>
    </row>
    <row r="172" spans="1:3" ht="13.5" thickBot="1">
      <c r="A172" s="3">
        <v>1023652216</v>
      </c>
      <c r="B172" s="10">
        <f t="shared" ca="1" si="6"/>
        <v>6</v>
      </c>
      <c r="C172" s="5">
        <f t="shared" ca="1" si="5"/>
        <v>132</v>
      </c>
    </row>
    <row r="173" spans="1:3" ht="13.5" thickBot="1">
      <c r="A173" s="3">
        <f>A172+13</f>
        <v>1023652229</v>
      </c>
      <c r="B173" s="10">
        <f t="shared" ca="1" si="6"/>
        <v>4</v>
      </c>
      <c r="C173" s="5">
        <f t="shared" ca="1" si="5"/>
        <v>88</v>
      </c>
    </row>
    <row r="174" spans="1:3" ht="13.5" thickBot="1">
      <c r="A174" s="3">
        <v>1023652217</v>
      </c>
      <c r="B174" s="10">
        <f t="shared" ca="1" si="6"/>
        <v>3</v>
      </c>
      <c r="C174" s="5">
        <f t="shared" ca="1" si="5"/>
        <v>66</v>
      </c>
    </row>
    <row r="175" spans="1:3" ht="13.5" thickBot="1">
      <c r="A175" s="3">
        <f>A174+13</f>
        <v>1023652230</v>
      </c>
      <c r="B175" s="10">
        <f t="shared" ca="1" si="6"/>
        <v>3</v>
      </c>
      <c r="C175" s="5">
        <f ca="1">(B175*$A$2)</f>
        <v>66</v>
      </c>
    </row>
    <row r="176" spans="1:3" ht="13.5" thickBot="1">
      <c r="A176" s="3">
        <v>1023652218</v>
      </c>
      <c r="B176" s="10">
        <f t="shared" ca="1" si="6"/>
        <v>4</v>
      </c>
      <c r="C176" s="5">
        <f t="shared" ref="C176:C200" ca="1" si="7">(B176*$A$2)</f>
        <v>88</v>
      </c>
    </row>
    <row r="177" spans="1:3" ht="13.5" thickBot="1">
      <c r="A177" s="3">
        <f>A176+13</f>
        <v>1023652231</v>
      </c>
      <c r="B177" s="10">
        <f t="shared" ca="1" si="6"/>
        <v>5</v>
      </c>
      <c r="C177" s="5">
        <f t="shared" ca="1" si="7"/>
        <v>110</v>
      </c>
    </row>
    <row r="178" spans="1:3" ht="13.5" thickBot="1">
      <c r="A178" s="3">
        <v>1023652219</v>
      </c>
      <c r="B178" s="10">
        <f t="shared" ca="1" si="6"/>
        <v>1</v>
      </c>
      <c r="C178" s="5">
        <f t="shared" ca="1" si="7"/>
        <v>22</v>
      </c>
    </row>
    <row r="179" spans="1:3" ht="13.5" thickBot="1">
      <c r="A179" s="3">
        <f>A178+13</f>
        <v>1023652232</v>
      </c>
      <c r="B179" s="10">
        <f t="shared" ca="1" si="6"/>
        <v>4</v>
      </c>
      <c r="C179" s="5">
        <f t="shared" ca="1" si="7"/>
        <v>88</v>
      </c>
    </row>
    <row r="180" spans="1:3" ht="13.5" thickBot="1">
      <c r="A180" s="3">
        <v>1023652220</v>
      </c>
      <c r="B180" s="10">
        <f t="shared" ca="1" si="6"/>
        <v>4</v>
      </c>
      <c r="C180" s="5">
        <f t="shared" ca="1" si="7"/>
        <v>88</v>
      </c>
    </row>
    <row r="181" spans="1:3" ht="13.5" thickBot="1">
      <c r="A181" s="3">
        <f>A180+13</f>
        <v>1023652233</v>
      </c>
      <c r="B181" s="10">
        <f t="shared" ca="1" si="6"/>
        <v>2</v>
      </c>
      <c r="C181" s="5">
        <f t="shared" ca="1" si="7"/>
        <v>44</v>
      </c>
    </row>
    <row r="182" spans="1:3" ht="13.5" thickBot="1">
      <c r="A182" s="3">
        <v>1023652221</v>
      </c>
      <c r="B182" s="10">
        <f t="shared" ca="1" si="6"/>
        <v>3</v>
      </c>
      <c r="C182" s="5">
        <f t="shared" ca="1" si="7"/>
        <v>66</v>
      </c>
    </row>
    <row r="183" spans="1:3" ht="13.5" thickBot="1">
      <c r="A183" s="3">
        <f>A182+13</f>
        <v>1023652234</v>
      </c>
      <c r="B183" s="10">
        <f t="shared" ca="1" si="6"/>
        <v>4</v>
      </c>
      <c r="C183" s="5">
        <f t="shared" ca="1" si="7"/>
        <v>88</v>
      </c>
    </row>
    <row r="184" spans="1:3" ht="13.5" thickBot="1">
      <c r="A184" s="3">
        <v>1023652222</v>
      </c>
      <c r="B184" s="10">
        <f t="shared" ca="1" si="6"/>
        <v>0</v>
      </c>
      <c r="C184" s="5">
        <f t="shared" ca="1" si="7"/>
        <v>0</v>
      </c>
    </row>
    <row r="185" spans="1:3" ht="13.5" thickBot="1">
      <c r="A185" s="3">
        <f>A184+13</f>
        <v>1023652235</v>
      </c>
      <c r="B185" s="10">
        <f t="shared" ca="1" si="6"/>
        <v>3</v>
      </c>
      <c r="C185" s="5">
        <f t="shared" ca="1" si="7"/>
        <v>66</v>
      </c>
    </row>
    <row r="186" spans="1:3" ht="13.5" thickBot="1">
      <c r="A186" s="3">
        <v>1023652223</v>
      </c>
      <c r="B186" s="10">
        <f t="shared" ca="1" si="6"/>
        <v>3</v>
      </c>
      <c r="C186" s="5">
        <f t="shared" ca="1" si="7"/>
        <v>66</v>
      </c>
    </row>
    <row r="187" spans="1:3" ht="13.5" thickBot="1">
      <c r="A187" s="3">
        <f>A186+13</f>
        <v>1023652236</v>
      </c>
      <c r="B187" s="10">
        <f t="shared" ca="1" si="6"/>
        <v>6</v>
      </c>
      <c r="C187" s="5">
        <f t="shared" ca="1" si="7"/>
        <v>132</v>
      </c>
    </row>
    <row r="188" spans="1:3" ht="13.5" thickBot="1">
      <c r="A188" s="3">
        <v>1023652224</v>
      </c>
      <c r="B188" s="10">
        <f t="shared" ca="1" si="6"/>
        <v>5</v>
      </c>
      <c r="C188" s="5">
        <f t="shared" ca="1" si="7"/>
        <v>110</v>
      </c>
    </row>
    <row r="189" spans="1:3" ht="13.5" thickBot="1">
      <c r="A189" s="3">
        <f>A188+13</f>
        <v>1023652237</v>
      </c>
      <c r="B189" s="10">
        <f t="shared" ca="1" si="6"/>
        <v>0</v>
      </c>
      <c r="C189" s="5">
        <f t="shared" ca="1" si="7"/>
        <v>0</v>
      </c>
    </row>
    <row r="190" spans="1:3" ht="13.5" thickBot="1">
      <c r="A190" s="3">
        <v>1023652225</v>
      </c>
      <c r="B190" s="10">
        <f t="shared" ca="1" si="6"/>
        <v>5</v>
      </c>
      <c r="C190" s="5">
        <f t="shared" ca="1" si="7"/>
        <v>110</v>
      </c>
    </row>
    <row r="191" spans="1:3" ht="13.5" thickBot="1">
      <c r="A191" s="3">
        <f>A190+13</f>
        <v>1023652238</v>
      </c>
      <c r="B191" s="10">
        <f t="shared" ca="1" si="6"/>
        <v>1</v>
      </c>
      <c r="C191" s="5">
        <f t="shared" ca="1" si="7"/>
        <v>22</v>
      </c>
    </row>
    <row r="192" spans="1:3" ht="13.5" thickBot="1">
      <c r="A192" s="3">
        <v>1023652226</v>
      </c>
      <c r="B192" s="10">
        <f t="shared" ca="1" si="6"/>
        <v>2</v>
      </c>
      <c r="C192" s="5">
        <f t="shared" ca="1" si="7"/>
        <v>44</v>
      </c>
    </row>
    <row r="193" spans="1:3" ht="13.5" thickBot="1">
      <c r="A193" s="3">
        <f>A192+13</f>
        <v>1023652239</v>
      </c>
      <c r="B193" s="10">
        <f t="shared" ca="1" si="6"/>
        <v>3</v>
      </c>
      <c r="C193" s="5">
        <f t="shared" ca="1" si="7"/>
        <v>66</v>
      </c>
    </row>
    <row r="194" spans="1:3" ht="13.5" thickBot="1">
      <c r="A194" s="3">
        <v>1023652227</v>
      </c>
      <c r="B194" s="10">
        <f t="shared" ca="1" si="6"/>
        <v>3</v>
      </c>
      <c r="C194" s="5">
        <f t="shared" ca="1" si="7"/>
        <v>66</v>
      </c>
    </row>
    <row r="195" spans="1:3" ht="13.5" thickBot="1">
      <c r="A195" s="3">
        <f>A194+13</f>
        <v>1023652240</v>
      </c>
      <c r="B195" s="10">
        <f t="shared" ca="1" si="6"/>
        <v>4</v>
      </c>
      <c r="C195" s="5">
        <f t="shared" ca="1" si="7"/>
        <v>88</v>
      </c>
    </row>
    <row r="196" spans="1:3" ht="13.5" thickBot="1">
      <c r="A196" s="3">
        <v>1023652228</v>
      </c>
      <c r="B196" s="10">
        <f t="shared" ca="1" si="6"/>
        <v>5</v>
      </c>
      <c r="C196" s="5">
        <f t="shared" ca="1" si="7"/>
        <v>110</v>
      </c>
    </row>
    <row r="197" spans="1:3" ht="13.5" thickBot="1">
      <c r="A197" s="3">
        <f>A196+13</f>
        <v>1023652241</v>
      </c>
      <c r="B197" s="10">
        <f t="shared" ca="1" si="6"/>
        <v>5</v>
      </c>
      <c r="C197" s="5">
        <f t="shared" ca="1" si="7"/>
        <v>110</v>
      </c>
    </row>
    <row r="198" spans="1:3" ht="13.5" thickBot="1">
      <c r="A198" s="3">
        <v>1023652229</v>
      </c>
      <c r="B198" s="10">
        <f t="shared" ca="1" si="6"/>
        <v>5</v>
      </c>
      <c r="C198" s="5">
        <f t="shared" ca="1" si="7"/>
        <v>110</v>
      </c>
    </row>
    <row r="199" spans="1:3" ht="13.5" thickBot="1">
      <c r="A199" s="3">
        <f>A198+13</f>
        <v>1023652242</v>
      </c>
      <c r="B199" s="10">
        <f t="shared" ca="1" si="6"/>
        <v>1</v>
      </c>
      <c r="C199" s="5">
        <f t="shared" ca="1" si="7"/>
        <v>22</v>
      </c>
    </row>
    <row r="200" spans="1:3">
      <c r="A200" s="3">
        <v>1023652230</v>
      </c>
      <c r="B200" s="10">
        <f t="shared" ca="1" si="6"/>
        <v>6</v>
      </c>
      <c r="C200" s="5">
        <f t="shared" ca="1" si="7"/>
        <v>132</v>
      </c>
    </row>
  </sheetData>
  <customSheetViews>
    <customSheetView guid="{F9B480CE-077C-416E-ACF9-56227F746F4A}">
      <selection activeCell="H32" sqref="H32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H32" sqref="H32"/>
      <pageMargins left="0.75" right="0.75" top="1" bottom="1" header="0.5" footer="0.5"/>
      <pageSetup paperSize="9" orientation="portrait" r:id="rId2"/>
      <headerFooter alignWithMargins="0"/>
    </customSheetView>
  </customSheetViews>
  <mergeCells count="2">
    <mergeCell ref="A1:B1"/>
    <mergeCell ref="A2:B2"/>
  </mergeCells>
  <pageMargins left="0.75" right="0.75" top="1" bottom="1" header="0.5" footer="0.5"/>
  <pageSetup paperSize="9" orientation="portrait" r:id="rId3"/>
  <headerFooter alignWithMargins="0"/>
  <ignoredErrors>
    <ignoredError sqref="B10:B200" unlockedFormula="1"/>
  </ignoredErrors>
  <drawing r:id="rId4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D27"/>
  <sheetViews>
    <sheetView workbookViewId="0">
      <selection activeCell="H33" sqref="H33"/>
    </sheetView>
  </sheetViews>
  <sheetFormatPr defaultRowHeight="12.75"/>
  <cols>
    <col min="1" max="1" width="14.7109375" style="25" bestFit="1" customWidth="1"/>
    <col min="2" max="2" width="10.140625" style="25" bestFit="1" customWidth="1"/>
    <col min="3" max="3" width="13.28515625" style="25" bestFit="1" customWidth="1"/>
    <col min="4" max="4" width="12.28515625" style="25" bestFit="1" customWidth="1"/>
    <col min="5" max="16384" width="9.140625" style="25"/>
  </cols>
  <sheetData>
    <row r="1" spans="1:4" ht="13.5" thickBot="1">
      <c r="A1" s="70" t="s">
        <v>110</v>
      </c>
      <c r="B1" s="71">
        <f ca="1">TODAY()</f>
        <v>45919</v>
      </c>
    </row>
    <row r="3" spans="1:4">
      <c r="B3" s="26" t="s">
        <v>53</v>
      </c>
      <c r="C3" s="26" t="s">
        <v>190</v>
      </c>
      <c r="D3" s="26" t="s">
        <v>191</v>
      </c>
    </row>
    <row r="4" spans="1:4">
      <c r="B4" s="27" t="s">
        <v>54</v>
      </c>
      <c r="C4" s="28">
        <f ca="1">RAND()*1111+DATE(YEAR(TODAY()),1,1)</f>
        <v>45958.806701109155</v>
      </c>
      <c r="D4" s="29"/>
    </row>
    <row r="5" spans="1:4">
      <c r="B5" s="27" t="s">
        <v>55</v>
      </c>
      <c r="C5" s="28">
        <f t="shared" ref="C5:C27" ca="1" si="0">RAND()*1111+DATE(YEAR(TODAY()),1,1)</f>
        <v>46127.359421140427</v>
      </c>
      <c r="D5" s="29"/>
    </row>
    <row r="6" spans="1:4">
      <c r="B6" s="27" t="s">
        <v>56</v>
      </c>
      <c r="C6" s="28">
        <f t="shared" ca="1" si="0"/>
        <v>46479.828594908664</v>
      </c>
      <c r="D6" s="29"/>
    </row>
    <row r="7" spans="1:4">
      <c r="B7" s="27" t="s">
        <v>57</v>
      </c>
      <c r="C7" s="28">
        <f t="shared" ca="1" si="0"/>
        <v>46345.825472518081</v>
      </c>
      <c r="D7" s="29"/>
    </row>
    <row r="8" spans="1:4">
      <c r="B8" s="27" t="s">
        <v>58</v>
      </c>
      <c r="C8" s="28">
        <f t="shared" ca="1" si="0"/>
        <v>46376.008787624123</v>
      </c>
      <c r="D8" s="29"/>
    </row>
    <row r="9" spans="1:4">
      <c r="B9" s="27" t="s">
        <v>59</v>
      </c>
      <c r="C9" s="28">
        <f t="shared" ca="1" si="0"/>
        <v>46542.273763652949</v>
      </c>
      <c r="D9" s="29"/>
    </row>
    <row r="10" spans="1:4">
      <c r="B10" s="27" t="s">
        <v>60</v>
      </c>
      <c r="C10" s="28">
        <f t="shared" ca="1" si="0"/>
        <v>45783.811718388701</v>
      </c>
      <c r="D10" s="29"/>
    </row>
    <row r="11" spans="1:4">
      <c r="B11" s="27" t="s">
        <v>61</v>
      </c>
      <c r="C11" s="28">
        <f t="shared" ca="1" si="0"/>
        <v>46272.954928683823</v>
      </c>
      <c r="D11" s="29"/>
    </row>
    <row r="12" spans="1:4">
      <c r="B12" s="27" t="s">
        <v>62</v>
      </c>
      <c r="C12" s="28">
        <f t="shared" ca="1" si="0"/>
        <v>45805.452979180976</v>
      </c>
      <c r="D12" s="29"/>
    </row>
    <row r="13" spans="1:4">
      <c r="B13" s="27" t="s">
        <v>63</v>
      </c>
      <c r="C13" s="28">
        <f t="shared" ca="1" si="0"/>
        <v>46604.990223123015</v>
      </c>
      <c r="D13" s="29"/>
    </row>
    <row r="14" spans="1:4">
      <c r="B14" s="27" t="s">
        <v>64</v>
      </c>
      <c r="C14" s="28">
        <f t="shared" ca="1" si="0"/>
        <v>46412.324605545225</v>
      </c>
      <c r="D14" s="29"/>
    </row>
    <row r="15" spans="1:4">
      <c r="B15" s="27" t="s">
        <v>97</v>
      </c>
      <c r="C15" s="28">
        <f t="shared" ca="1" si="0"/>
        <v>46466.756741401558</v>
      </c>
      <c r="D15" s="29"/>
    </row>
    <row r="16" spans="1:4">
      <c r="B16" s="27" t="s">
        <v>98</v>
      </c>
      <c r="C16" s="28">
        <f t="shared" ca="1" si="0"/>
        <v>45812.073966305492</v>
      </c>
      <c r="D16" s="29"/>
    </row>
    <row r="17" spans="2:4">
      <c r="B17" s="27" t="s">
        <v>99</v>
      </c>
      <c r="C17" s="28">
        <f t="shared" ca="1" si="0"/>
        <v>46729.312683077434</v>
      </c>
      <c r="D17" s="29"/>
    </row>
    <row r="18" spans="2:4">
      <c r="B18" s="27" t="s">
        <v>100</v>
      </c>
      <c r="C18" s="28">
        <f t="shared" ca="1" si="0"/>
        <v>46203.155958374722</v>
      </c>
      <c r="D18" s="29"/>
    </row>
    <row r="19" spans="2:4">
      <c r="B19" s="27" t="s">
        <v>101</v>
      </c>
      <c r="C19" s="28">
        <f t="shared" ca="1" si="0"/>
        <v>45991.526266942892</v>
      </c>
      <c r="D19" s="29"/>
    </row>
    <row r="20" spans="2:4">
      <c r="B20" s="27" t="s">
        <v>102</v>
      </c>
      <c r="C20" s="28">
        <f t="shared" ca="1" si="0"/>
        <v>46430.80495832389</v>
      </c>
      <c r="D20" s="29"/>
    </row>
    <row r="21" spans="2:4">
      <c r="B21" s="27" t="s">
        <v>103</v>
      </c>
      <c r="C21" s="28">
        <f t="shared" ca="1" si="0"/>
        <v>45862.560534494922</v>
      </c>
      <c r="D21" s="29"/>
    </row>
    <row r="22" spans="2:4">
      <c r="B22" s="27" t="s">
        <v>104</v>
      </c>
      <c r="C22" s="28">
        <f t="shared" ca="1" si="0"/>
        <v>46143.073485601722</v>
      </c>
      <c r="D22" s="29"/>
    </row>
    <row r="23" spans="2:4">
      <c r="B23" s="27" t="s">
        <v>105</v>
      </c>
      <c r="C23" s="28">
        <f t="shared" ca="1" si="0"/>
        <v>45858.523392349292</v>
      </c>
      <c r="D23" s="29"/>
    </row>
    <row r="24" spans="2:4">
      <c r="B24" s="27" t="s">
        <v>106</v>
      </c>
      <c r="C24" s="28">
        <f t="shared" ca="1" si="0"/>
        <v>46765.216802601783</v>
      </c>
      <c r="D24" s="29"/>
    </row>
    <row r="25" spans="2:4">
      <c r="B25" s="27" t="s">
        <v>107</v>
      </c>
      <c r="C25" s="28">
        <f t="shared" ca="1" si="0"/>
        <v>46030.59419636886</v>
      </c>
      <c r="D25" s="29"/>
    </row>
    <row r="26" spans="2:4">
      <c r="B26" s="27" t="s">
        <v>108</v>
      </c>
      <c r="C26" s="28">
        <f t="shared" ca="1" si="0"/>
        <v>45666.449787479971</v>
      </c>
      <c r="D26" s="29"/>
    </row>
    <row r="27" spans="2:4">
      <c r="B27" s="27" t="s">
        <v>109</v>
      </c>
      <c r="C27" s="28">
        <f t="shared" ca="1" si="0"/>
        <v>46125.830662625092</v>
      </c>
      <c r="D27" s="29"/>
    </row>
  </sheetData>
  <customSheetViews>
    <customSheetView guid="{F9B480CE-077C-416E-ACF9-56227F746F4A}">
      <selection activeCell="H33" sqref="H33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H33" sqref="H33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M32" sqref="M32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5" t="s">
        <v>16</v>
      </c>
      <c r="B1" s="136"/>
      <c r="C1" s="136"/>
      <c r="D1" s="13" t="s">
        <v>17</v>
      </c>
      <c r="E1" s="13" t="s">
        <v>18</v>
      </c>
      <c r="F1" s="136" t="s">
        <v>19</v>
      </c>
      <c r="G1" s="136"/>
      <c r="H1" s="136"/>
      <c r="I1" s="136"/>
      <c r="J1" s="136"/>
      <c r="K1" s="137"/>
      <c r="L1" s="13" t="s">
        <v>85</v>
      </c>
    </row>
    <row r="2" spans="1:13" ht="15" customHeight="1">
      <c r="A2" s="96" t="s">
        <v>192</v>
      </c>
      <c r="B2" s="19" t="s">
        <v>29</v>
      </c>
      <c r="C2" s="19"/>
      <c r="D2" s="38">
        <v>34.5</v>
      </c>
      <c r="E2" s="19">
        <f ca="1">ROUND(RAND()*6+1,0)</f>
        <v>1</v>
      </c>
      <c r="F2" s="18" t="s">
        <v>20</v>
      </c>
      <c r="G2" s="19">
        <v>15</v>
      </c>
      <c r="H2" s="19" t="s">
        <v>21</v>
      </c>
      <c r="I2" s="19">
        <f ca="1">YEAR(TODAY())</f>
        <v>2025</v>
      </c>
      <c r="J2" s="20">
        <v>0.84760416666666671</v>
      </c>
      <c r="K2" s="19" t="s">
        <v>22</v>
      </c>
      <c r="L2" s="39"/>
    </row>
    <row r="3" spans="1:13" ht="15" customHeight="1">
      <c r="A3" s="97" t="s">
        <v>193</v>
      </c>
      <c r="B3" s="15" t="s">
        <v>30</v>
      </c>
      <c r="C3" s="15"/>
      <c r="D3" s="40">
        <v>34.5</v>
      </c>
      <c r="E3" s="15">
        <f t="shared" ref="E3:E26" ca="1" si="0">ROUND(RAND()*6+1,0)</f>
        <v>6</v>
      </c>
      <c r="F3" s="21" t="s">
        <v>23</v>
      </c>
      <c r="G3" s="15">
        <v>16</v>
      </c>
      <c r="H3" s="15" t="s">
        <v>21</v>
      </c>
      <c r="I3" s="15">
        <f t="shared" ref="I3:I26" ca="1" si="1">YEAR(TODAY())</f>
        <v>2025</v>
      </c>
      <c r="J3" s="16">
        <v>0.43560185185185185</v>
      </c>
      <c r="K3" s="15" t="s">
        <v>22</v>
      </c>
      <c r="L3" s="41"/>
    </row>
    <row r="4" spans="1:13" ht="15" customHeight="1">
      <c r="A4" s="97" t="s">
        <v>194</v>
      </c>
      <c r="B4" s="15" t="s">
        <v>31</v>
      </c>
      <c r="C4" s="15"/>
      <c r="D4" s="40">
        <v>34.5</v>
      </c>
      <c r="E4" s="15">
        <f t="shared" ca="1" si="0"/>
        <v>4</v>
      </c>
      <c r="F4" s="21" t="s">
        <v>23</v>
      </c>
      <c r="G4" s="15">
        <v>16</v>
      </c>
      <c r="H4" s="15" t="s">
        <v>21</v>
      </c>
      <c r="I4" s="15">
        <f t="shared" ca="1" si="1"/>
        <v>2025</v>
      </c>
      <c r="J4" s="16">
        <v>0.54060185185185183</v>
      </c>
      <c r="K4" s="15" t="s">
        <v>22</v>
      </c>
      <c r="L4" s="41"/>
    </row>
    <row r="5" spans="1:13" ht="15" customHeight="1">
      <c r="A5" s="97" t="s">
        <v>195</v>
      </c>
      <c r="B5" s="15" t="s">
        <v>32</v>
      </c>
      <c r="C5" s="15"/>
      <c r="D5" s="40">
        <v>34.5</v>
      </c>
      <c r="E5" s="15">
        <f t="shared" ca="1" si="0"/>
        <v>4</v>
      </c>
      <c r="F5" s="21" t="s">
        <v>23</v>
      </c>
      <c r="G5" s="15">
        <v>16</v>
      </c>
      <c r="H5" s="15" t="s">
        <v>21</v>
      </c>
      <c r="I5" s="15">
        <f t="shared" ca="1" si="1"/>
        <v>2025</v>
      </c>
      <c r="J5" s="16">
        <v>0.57446759259259261</v>
      </c>
      <c r="K5" s="15" t="s">
        <v>22</v>
      </c>
      <c r="L5" s="41"/>
    </row>
    <row r="6" spans="1:13" ht="15" customHeight="1">
      <c r="A6" s="97" t="s">
        <v>196</v>
      </c>
      <c r="B6" s="15" t="s">
        <v>33</v>
      </c>
      <c r="C6" s="15"/>
      <c r="D6" s="40">
        <v>34.5</v>
      </c>
      <c r="E6" s="15">
        <f t="shared" ca="1" si="0"/>
        <v>3</v>
      </c>
      <c r="F6" s="21" t="s">
        <v>23</v>
      </c>
      <c r="G6" s="15">
        <v>16</v>
      </c>
      <c r="H6" s="15" t="s">
        <v>21</v>
      </c>
      <c r="I6" s="15">
        <f t="shared" ca="1" si="1"/>
        <v>2025</v>
      </c>
      <c r="J6" s="16">
        <v>0.92752314814814818</v>
      </c>
      <c r="K6" s="15" t="s">
        <v>22</v>
      </c>
      <c r="L6" s="41"/>
    </row>
    <row r="7" spans="1:13" ht="15" customHeight="1">
      <c r="A7" s="97" t="s">
        <v>197</v>
      </c>
      <c r="B7" s="15" t="s">
        <v>34</v>
      </c>
      <c r="C7" s="15"/>
      <c r="D7" s="40">
        <v>34.5</v>
      </c>
      <c r="E7" s="15">
        <f t="shared" ca="1" si="0"/>
        <v>5</v>
      </c>
      <c r="F7" s="21" t="s">
        <v>24</v>
      </c>
      <c r="G7" s="15">
        <v>17</v>
      </c>
      <c r="H7" s="15" t="s">
        <v>21</v>
      </c>
      <c r="I7" s="15">
        <f t="shared" ca="1" si="1"/>
        <v>2025</v>
      </c>
      <c r="J7" s="16">
        <v>0.5131134259259259</v>
      </c>
      <c r="K7" s="15" t="s">
        <v>22</v>
      </c>
      <c r="L7" s="41"/>
    </row>
    <row r="8" spans="1:13" ht="15" customHeight="1">
      <c r="A8" s="97" t="s">
        <v>198</v>
      </c>
      <c r="B8" s="15" t="s">
        <v>35</v>
      </c>
      <c r="C8" s="15"/>
      <c r="D8" s="40">
        <v>34.5</v>
      </c>
      <c r="E8" s="15">
        <f t="shared" ca="1" si="0"/>
        <v>3</v>
      </c>
      <c r="F8" s="21" t="s">
        <v>24</v>
      </c>
      <c r="G8" s="15">
        <v>17</v>
      </c>
      <c r="H8" s="15" t="s">
        <v>21</v>
      </c>
      <c r="I8" s="15">
        <f t="shared" ca="1" si="1"/>
        <v>2025</v>
      </c>
      <c r="J8" s="16">
        <v>0.52156250000000004</v>
      </c>
      <c r="K8" s="15" t="s">
        <v>22</v>
      </c>
      <c r="L8" s="41"/>
    </row>
    <row r="9" spans="1:13" ht="15" customHeight="1">
      <c r="A9" s="97" t="s">
        <v>199</v>
      </c>
      <c r="B9" s="15" t="s">
        <v>36</v>
      </c>
      <c r="C9" s="15"/>
      <c r="D9" s="40">
        <v>34.5</v>
      </c>
      <c r="E9" s="15">
        <f t="shared" ca="1" si="0"/>
        <v>5</v>
      </c>
      <c r="F9" s="21" t="s">
        <v>24</v>
      </c>
      <c r="G9" s="15">
        <v>17</v>
      </c>
      <c r="H9" s="15" t="s">
        <v>21</v>
      </c>
      <c r="I9" s="15">
        <f t="shared" ca="1" si="1"/>
        <v>2025</v>
      </c>
      <c r="J9" s="16">
        <v>0.59075231481481483</v>
      </c>
      <c r="K9" s="15" t="s">
        <v>22</v>
      </c>
      <c r="L9" s="41"/>
    </row>
    <row r="10" spans="1:13" ht="15" customHeight="1">
      <c r="A10" s="97" t="s">
        <v>200</v>
      </c>
      <c r="B10" s="15" t="s">
        <v>37</v>
      </c>
      <c r="C10" s="15"/>
      <c r="D10" s="40">
        <v>34.5</v>
      </c>
      <c r="E10" s="15">
        <f t="shared" ca="1" si="0"/>
        <v>4</v>
      </c>
      <c r="F10" s="21" t="s">
        <v>25</v>
      </c>
      <c r="G10" s="15">
        <v>18</v>
      </c>
      <c r="H10" s="15" t="s">
        <v>21</v>
      </c>
      <c r="I10" s="15">
        <f t="shared" ca="1" si="1"/>
        <v>2025</v>
      </c>
      <c r="J10" s="16">
        <v>0.66196759259259264</v>
      </c>
      <c r="K10" s="15" t="s">
        <v>22</v>
      </c>
      <c r="L10" s="41"/>
    </row>
    <row r="11" spans="1:13" ht="15" customHeight="1">
      <c r="A11" s="97" t="s">
        <v>201</v>
      </c>
      <c r="B11" s="15" t="s">
        <v>38</v>
      </c>
      <c r="C11" s="15"/>
      <c r="D11" s="40">
        <v>34.5</v>
      </c>
      <c r="E11" s="15">
        <f t="shared" ca="1" si="0"/>
        <v>6</v>
      </c>
      <c r="F11" s="21" t="s">
        <v>25</v>
      </c>
      <c r="G11" s="15">
        <v>18</v>
      </c>
      <c r="H11" s="15" t="s">
        <v>21</v>
      </c>
      <c r="I11" s="15">
        <f t="shared" ca="1" si="1"/>
        <v>2025</v>
      </c>
      <c r="J11" s="16">
        <v>0.68164351851851857</v>
      </c>
      <c r="K11" s="15" t="s">
        <v>22</v>
      </c>
      <c r="L11" s="41"/>
    </row>
    <row r="12" spans="1:13" ht="15" customHeight="1">
      <c r="A12" s="97" t="s">
        <v>202</v>
      </c>
      <c r="B12" s="15" t="s">
        <v>38</v>
      </c>
      <c r="C12" s="15"/>
      <c r="D12" s="40">
        <v>34.5</v>
      </c>
      <c r="E12" s="15">
        <f t="shared" ca="1" si="0"/>
        <v>6</v>
      </c>
      <c r="F12" s="21" t="s">
        <v>26</v>
      </c>
      <c r="G12" s="15">
        <v>19</v>
      </c>
      <c r="H12" s="15" t="s">
        <v>21</v>
      </c>
      <c r="I12" s="15">
        <f t="shared" ca="1" si="1"/>
        <v>2025</v>
      </c>
      <c r="J12" s="16">
        <v>0.7839814814814815</v>
      </c>
      <c r="K12" s="15" t="s">
        <v>22</v>
      </c>
      <c r="L12" s="41"/>
    </row>
    <row r="13" spans="1:13" ht="15" customHeight="1">
      <c r="A13" s="97" t="s">
        <v>203</v>
      </c>
      <c r="B13" s="15" t="s">
        <v>39</v>
      </c>
      <c r="C13" s="15"/>
      <c r="D13" s="40">
        <v>34.5</v>
      </c>
      <c r="E13" s="15">
        <f t="shared" ca="1" si="0"/>
        <v>5</v>
      </c>
      <c r="F13" s="21" t="s">
        <v>27</v>
      </c>
      <c r="G13" s="15">
        <v>20</v>
      </c>
      <c r="H13" s="15" t="s">
        <v>21</v>
      </c>
      <c r="I13" s="15">
        <f t="shared" ca="1" si="1"/>
        <v>2025</v>
      </c>
      <c r="J13" s="16">
        <v>0.71112268518518518</v>
      </c>
      <c r="K13" s="15" t="s">
        <v>22</v>
      </c>
      <c r="L13" s="41"/>
    </row>
    <row r="14" spans="1:13" ht="15" customHeight="1">
      <c r="A14" s="97" t="s">
        <v>204</v>
      </c>
      <c r="B14" s="15" t="s">
        <v>40</v>
      </c>
      <c r="C14" s="15"/>
      <c r="D14" s="40">
        <v>34.5</v>
      </c>
      <c r="E14" s="15">
        <f t="shared" ca="1" si="0"/>
        <v>7</v>
      </c>
      <c r="F14" s="21" t="s">
        <v>28</v>
      </c>
      <c r="G14" s="15">
        <v>21</v>
      </c>
      <c r="H14" s="15" t="s">
        <v>21</v>
      </c>
      <c r="I14" s="15">
        <f t="shared" ca="1" si="1"/>
        <v>2025</v>
      </c>
      <c r="J14" s="16">
        <v>0.3203125</v>
      </c>
      <c r="K14" s="15" t="s">
        <v>22</v>
      </c>
      <c r="L14" s="41"/>
    </row>
    <row r="15" spans="1:13" ht="15" customHeight="1">
      <c r="A15" s="97" t="s">
        <v>205</v>
      </c>
      <c r="B15" s="15" t="s">
        <v>41</v>
      </c>
      <c r="C15" s="15"/>
      <c r="D15" s="40">
        <v>34.5</v>
      </c>
      <c r="E15" s="15">
        <f t="shared" ca="1" si="0"/>
        <v>4</v>
      </c>
      <c r="F15" s="21" t="s">
        <v>28</v>
      </c>
      <c r="G15" s="15">
        <v>21</v>
      </c>
      <c r="H15" s="15" t="s">
        <v>21</v>
      </c>
      <c r="I15" s="15">
        <f t="shared" ca="1" si="1"/>
        <v>2025</v>
      </c>
      <c r="J15" s="16">
        <v>0.73304398148148142</v>
      </c>
      <c r="K15" s="15" t="s">
        <v>22</v>
      </c>
      <c r="L15" s="41"/>
    </row>
    <row r="16" spans="1:13" ht="15" customHeight="1">
      <c r="A16" s="97" t="s">
        <v>206</v>
      </c>
      <c r="B16" s="15" t="s">
        <v>42</v>
      </c>
      <c r="C16" s="15"/>
      <c r="D16" s="40">
        <v>34.5</v>
      </c>
      <c r="E16" s="15">
        <f t="shared" ca="1" si="0"/>
        <v>4</v>
      </c>
      <c r="F16" s="21" t="s">
        <v>23</v>
      </c>
      <c r="G16" s="15">
        <v>23</v>
      </c>
      <c r="H16" s="15" t="s">
        <v>21</v>
      </c>
      <c r="I16" s="15">
        <f t="shared" ca="1" si="1"/>
        <v>2025</v>
      </c>
      <c r="J16" s="16">
        <v>0.45883101851851849</v>
      </c>
      <c r="K16" s="15" t="s">
        <v>22</v>
      </c>
      <c r="L16" s="41"/>
      <c r="M16" s="42"/>
    </row>
    <row r="17" spans="1:13" ht="15" customHeight="1">
      <c r="A17" s="97" t="s">
        <v>207</v>
      </c>
      <c r="B17" s="15" t="s">
        <v>43</v>
      </c>
      <c r="C17" s="15"/>
      <c r="D17" s="40">
        <v>34.5</v>
      </c>
      <c r="E17" s="15">
        <f t="shared" ca="1" si="0"/>
        <v>6</v>
      </c>
      <c r="F17" s="21" t="s">
        <v>23</v>
      </c>
      <c r="G17" s="15">
        <v>23</v>
      </c>
      <c r="H17" s="15" t="s">
        <v>21</v>
      </c>
      <c r="I17" s="15">
        <f t="shared" ca="1" si="1"/>
        <v>2025</v>
      </c>
      <c r="J17" s="16">
        <v>0.92083333333333339</v>
      </c>
      <c r="K17" s="15" t="s">
        <v>22</v>
      </c>
      <c r="L17" s="41"/>
      <c r="M17" s="42"/>
    </row>
    <row r="18" spans="1:13" ht="15" customHeight="1">
      <c r="A18" s="97" t="s">
        <v>208</v>
      </c>
      <c r="B18" s="15" t="s">
        <v>44</v>
      </c>
      <c r="C18" s="15"/>
      <c r="D18" s="40">
        <v>34.5</v>
      </c>
      <c r="E18" s="15">
        <f t="shared" ca="1" si="0"/>
        <v>3</v>
      </c>
      <c r="F18" s="21" t="s">
        <v>24</v>
      </c>
      <c r="G18" s="15">
        <v>24</v>
      </c>
      <c r="H18" s="15" t="s">
        <v>21</v>
      </c>
      <c r="I18" s="15">
        <f t="shared" ca="1" si="1"/>
        <v>2025</v>
      </c>
      <c r="J18" s="16">
        <v>0.83994212962962955</v>
      </c>
      <c r="K18" s="15" t="s">
        <v>22</v>
      </c>
      <c r="L18" s="41"/>
      <c r="M18" s="42"/>
    </row>
    <row r="19" spans="1:13" ht="15" customHeight="1">
      <c r="A19" s="97" t="s">
        <v>209</v>
      </c>
      <c r="B19" s="15" t="s">
        <v>45</v>
      </c>
      <c r="C19" s="15"/>
      <c r="D19" s="40">
        <v>34.5</v>
      </c>
      <c r="E19" s="15">
        <f t="shared" ca="1" si="0"/>
        <v>2</v>
      </c>
      <c r="F19" s="21" t="s">
        <v>24</v>
      </c>
      <c r="G19" s="15">
        <v>24</v>
      </c>
      <c r="H19" s="15" t="s">
        <v>21</v>
      </c>
      <c r="I19" s="15">
        <f t="shared" ca="1" si="1"/>
        <v>2025</v>
      </c>
      <c r="J19" s="16">
        <v>0.93158564814814815</v>
      </c>
      <c r="K19" s="15" t="s">
        <v>22</v>
      </c>
      <c r="L19" s="41"/>
      <c r="M19" s="42"/>
    </row>
    <row r="20" spans="1:13" ht="15" customHeight="1">
      <c r="A20" s="97" t="s">
        <v>210</v>
      </c>
      <c r="B20" s="15" t="s">
        <v>46</v>
      </c>
      <c r="C20" s="15"/>
      <c r="D20" s="40">
        <v>34.5</v>
      </c>
      <c r="E20" s="15">
        <f t="shared" ca="1" si="0"/>
        <v>5</v>
      </c>
      <c r="F20" s="21" t="s">
        <v>25</v>
      </c>
      <c r="G20" s="15">
        <v>25</v>
      </c>
      <c r="H20" s="15" t="s">
        <v>21</v>
      </c>
      <c r="I20" s="15">
        <f t="shared" ca="1" si="1"/>
        <v>2025</v>
      </c>
      <c r="J20" s="16">
        <v>0.95686342592592588</v>
      </c>
      <c r="K20" s="15" t="s">
        <v>22</v>
      </c>
      <c r="L20" s="41"/>
      <c r="M20" s="42"/>
    </row>
    <row r="21" spans="1:13" ht="15" customHeight="1">
      <c r="A21" s="97" t="s">
        <v>211</v>
      </c>
      <c r="B21" s="15" t="s">
        <v>47</v>
      </c>
      <c r="C21" s="15"/>
      <c r="D21" s="40">
        <v>34.5</v>
      </c>
      <c r="E21" s="15">
        <f t="shared" ca="1" si="0"/>
        <v>2</v>
      </c>
      <c r="F21" s="21" t="s">
        <v>26</v>
      </c>
      <c r="G21" s="15">
        <v>26</v>
      </c>
      <c r="H21" s="15" t="s">
        <v>21</v>
      </c>
      <c r="I21" s="15">
        <f t="shared" ca="1" si="1"/>
        <v>2025</v>
      </c>
      <c r="J21" s="16">
        <v>0.42584490740740738</v>
      </c>
      <c r="K21" s="15" t="s">
        <v>22</v>
      </c>
      <c r="L21" s="41"/>
      <c r="M21" s="42"/>
    </row>
    <row r="22" spans="1:13" ht="15" customHeight="1">
      <c r="A22" s="97" t="s">
        <v>212</v>
      </c>
      <c r="B22" s="15" t="s">
        <v>48</v>
      </c>
      <c r="C22" s="15"/>
      <c r="D22" s="40">
        <v>34.5</v>
      </c>
      <c r="E22" s="15">
        <f t="shared" ca="1" si="0"/>
        <v>2</v>
      </c>
      <c r="F22" s="21" t="s">
        <v>26</v>
      </c>
      <c r="G22" s="15">
        <v>26</v>
      </c>
      <c r="H22" s="15" t="s">
        <v>21</v>
      </c>
      <c r="I22" s="15">
        <f t="shared" ca="1" si="1"/>
        <v>2025</v>
      </c>
      <c r="J22" s="16">
        <v>0.53960648148148149</v>
      </c>
      <c r="K22" s="15" t="s">
        <v>22</v>
      </c>
      <c r="L22" s="41"/>
    </row>
    <row r="23" spans="1:13" ht="15" customHeight="1">
      <c r="A23" s="97" t="s">
        <v>213</v>
      </c>
      <c r="B23" s="15" t="s">
        <v>49</v>
      </c>
      <c r="C23" s="15"/>
      <c r="D23" s="40">
        <v>34.5</v>
      </c>
      <c r="E23" s="15">
        <f t="shared" ca="1" si="0"/>
        <v>1</v>
      </c>
      <c r="F23" s="21" t="s">
        <v>26</v>
      </c>
      <c r="G23" s="15">
        <v>26</v>
      </c>
      <c r="H23" s="15" t="s">
        <v>21</v>
      </c>
      <c r="I23" s="15">
        <f t="shared" ca="1" si="1"/>
        <v>2025</v>
      </c>
      <c r="J23" s="16">
        <v>0.58559027777777783</v>
      </c>
      <c r="K23" s="15" t="s">
        <v>22</v>
      </c>
      <c r="L23" s="41"/>
    </row>
    <row r="24" spans="1:13" ht="15" customHeight="1">
      <c r="A24" s="97" t="s">
        <v>214</v>
      </c>
      <c r="B24" s="15" t="s">
        <v>50</v>
      </c>
      <c r="C24" s="15"/>
      <c r="D24" s="40">
        <v>34.5</v>
      </c>
      <c r="E24" s="15">
        <f t="shared" ca="1" si="0"/>
        <v>6</v>
      </c>
      <c r="F24" s="21" t="s">
        <v>26</v>
      </c>
      <c r="G24" s="15">
        <v>26</v>
      </c>
      <c r="H24" s="15" t="s">
        <v>21</v>
      </c>
      <c r="I24" s="15">
        <f t="shared" ca="1" si="1"/>
        <v>2025</v>
      </c>
      <c r="J24" s="16">
        <v>0.62951388888888882</v>
      </c>
      <c r="K24" s="15" t="s">
        <v>22</v>
      </c>
      <c r="L24" s="41"/>
    </row>
    <row r="25" spans="1:13" ht="15" customHeight="1">
      <c r="A25" s="97" t="s">
        <v>215</v>
      </c>
      <c r="B25" s="15" t="s">
        <v>51</v>
      </c>
      <c r="C25" s="15"/>
      <c r="D25" s="40">
        <v>34.5</v>
      </c>
      <c r="E25" s="15">
        <f t="shared" ca="1" si="0"/>
        <v>7</v>
      </c>
      <c r="F25" s="21" t="s">
        <v>27</v>
      </c>
      <c r="G25" s="15">
        <v>27</v>
      </c>
      <c r="H25" s="15" t="s">
        <v>21</v>
      </c>
      <c r="I25" s="15">
        <f t="shared" ca="1" si="1"/>
        <v>2025</v>
      </c>
      <c r="J25" s="16">
        <v>0.9234837962962964</v>
      </c>
      <c r="K25" s="15" t="s">
        <v>22</v>
      </c>
      <c r="L25" s="41"/>
    </row>
    <row r="26" spans="1:13" ht="15" customHeight="1" thickBot="1">
      <c r="A26" s="98" t="s">
        <v>216</v>
      </c>
      <c r="B26" s="23" t="s">
        <v>52</v>
      </c>
      <c r="C26" s="23"/>
      <c r="D26" s="43">
        <v>34.5</v>
      </c>
      <c r="E26" s="23">
        <f t="shared" ca="1" si="0"/>
        <v>5</v>
      </c>
      <c r="F26" s="22" t="s">
        <v>28</v>
      </c>
      <c r="G26" s="23">
        <v>28</v>
      </c>
      <c r="H26" s="23" t="s">
        <v>21</v>
      </c>
      <c r="I26" s="23">
        <f t="shared" ca="1" si="1"/>
        <v>2025</v>
      </c>
      <c r="J26" s="24">
        <v>0.5770601851851852</v>
      </c>
      <c r="K26" s="23" t="s">
        <v>22</v>
      </c>
      <c r="L26" s="44"/>
    </row>
  </sheetData>
  <customSheetViews>
    <customSheetView guid="{F9B480CE-077C-416E-ACF9-56227F746F4A}">
      <selection activeCell="M32" sqref="M32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M32" sqref="M32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ignoredErrors>
    <ignoredError sqref="B2:B26" numberStoredAsText="1"/>
  </ignoredErrors>
  <drawing r:id="rId4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N31" sqref="N31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5" t="s">
        <v>16</v>
      </c>
      <c r="B1" s="136"/>
      <c r="C1" s="136"/>
      <c r="D1" s="13" t="s">
        <v>17</v>
      </c>
      <c r="E1" s="13" t="s">
        <v>18</v>
      </c>
      <c r="F1" s="136" t="s">
        <v>19</v>
      </c>
      <c r="G1" s="136"/>
      <c r="H1" s="136"/>
      <c r="I1" s="136"/>
      <c r="J1" s="136"/>
      <c r="K1" s="137"/>
      <c r="L1" s="13" t="s">
        <v>85</v>
      </c>
    </row>
    <row r="2" spans="1:13" ht="15" customHeight="1" thickTop="1">
      <c r="A2" s="96" t="s">
        <v>192</v>
      </c>
      <c r="B2" s="14" t="s">
        <v>29</v>
      </c>
      <c r="C2" s="14"/>
      <c r="D2" s="38">
        <f ca="1">ROUND(RAND()*20+10,1)</f>
        <v>17.899999999999999</v>
      </c>
      <c r="E2" s="14">
        <v>2</v>
      </c>
      <c r="F2" s="18" t="s">
        <v>20</v>
      </c>
      <c r="G2" s="19">
        <v>15</v>
      </c>
      <c r="H2" s="19" t="s">
        <v>21</v>
      </c>
      <c r="I2" s="19">
        <f ca="1">YEAR(TODAY())</f>
        <v>2025</v>
      </c>
      <c r="J2" s="20">
        <v>0.84760416666666671</v>
      </c>
      <c r="K2" s="19" t="s">
        <v>22</v>
      </c>
      <c r="L2" s="39"/>
    </row>
    <row r="3" spans="1:13" ht="15" customHeight="1">
      <c r="A3" s="97" t="s">
        <v>193</v>
      </c>
      <c r="B3" s="15" t="s">
        <v>30</v>
      </c>
      <c r="C3" s="15"/>
      <c r="D3" s="40">
        <f t="shared" ref="D3:D26" ca="1" si="0">ROUND(RAND()*20+10,1)</f>
        <v>17.399999999999999</v>
      </c>
      <c r="E3" s="15">
        <v>2</v>
      </c>
      <c r="F3" s="21" t="s">
        <v>23</v>
      </c>
      <c r="G3" s="15">
        <v>16</v>
      </c>
      <c r="H3" s="15" t="s">
        <v>21</v>
      </c>
      <c r="I3" s="15">
        <f t="shared" ref="I3:I26" ca="1" si="1">YEAR(TODAY())</f>
        <v>2025</v>
      </c>
      <c r="J3" s="16">
        <v>0.43560185185185185</v>
      </c>
      <c r="K3" s="15" t="s">
        <v>22</v>
      </c>
      <c r="L3" s="41"/>
    </row>
    <row r="4" spans="1:13" ht="15" customHeight="1">
      <c r="A4" s="97" t="s">
        <v>194</v>
      </c>
      <c r="B4" s="15" t="s">
        <v>31</v>
      </c>
      <c r="C4" s="15"/>
      <c r="D4" s="40">
        <f t="shared" ca="1" si="0"/>
        <v>24</v>
      </c>
      <c r="E4" s="15">
        <v>2</v>
      </c>
      <c r="F4" s="21" t="s">
        <v>23</v>
      </c>
      <c r="G4" s="15">
        <v>16</v>
      </c>
      <c r="H4" s="15" t="s">
        <v>21</v>
      </c>
      <c r="I4" s="15">
        <f t="shared" ca="1" si="1"/>
        <v>2025</v>
      </c>
      <c r="J4" s="16">
        <v>0.54060185185185183</v>
      </c>
      <c r="K4" s="15" t="s">
        <v>22</v>
      </c>
      <c r="L4" s="41"/>
    </row>
    <row r="5" spans="1:13" ht="15" customHeight="1">
      <c r="A5" s="97" t="s">
        <v>195</v>
      </c>
      <c r="B5" s="15" t="s">
        <v>32</v>
      </c>
      <c r="C5" s="15"/>
      <c r="D5" s="40">
        <f t="shared" ca="1" si="0"/>
        <v>24.9</v>
      </c>
      <c r="E5" s="15">
        <v>3</v>
      </c>
      <c r="F5" s="21" t="s">
        <v>23</v>
      </c>
      <c r="G5" s="15">
        <v>16</v>
      </c>
      <c r="H5" s="15" t="s">
        <v>21</v>
      </c>
      <c r="I5" s="15">
        <f t="shared" ca="1" si="1"/>
        <v>2025</v>
      </c>
      <c r="J5" s="16">
        <v>0.57446759259259261</v>
      </c>
      <c r="K5" s="15" t="s">
        <v>22</v>
      </c>
      <c r="L5" s="41"/>
    </row>
    <row r="6" spans="1:13" ht="15" customHeight="1">
      <c r="A6" s="97" t="s">
        <v>196</v>
      </c>
      <c r="B6" s="15" t="s">
        <v>33</v>
      </c>
      <c r="C6" s="15"/>
      <c r="D6" s="40">
        <f t="shared" ca="1" si="0"/>
        <v>25.6</v>
      </c>
      <c r="E6" s="15">
        <v>1</v>
      </c>
      <c r="F6" s="21" t="s">
        <v>23</v>
      </c>
      <c r="G6" s="15">
        <v>16</v>
      </c>
      <c r="H6" s="15" t="s">
        <v>21</v>
      </c>
      <c r="I6" s="15">
        <f t="shared" ca="1" si="1"/>
        <v>2025</v>
      </c>
      <c r="J6" s="16">
        <v>0.92752314814814818</v>
      </c>
      <c r="K6" s="15" t="s">
        <v>22</v>
      </c>
      <c r="L6" s="41"/>
    </row>
    <row r="7" spans="1:13" ht="15" customHeight="1">
      <c r="A7" s="97" t="s">
        <v>197</v>
      </c>
      <c r="B7" s="15" t="s">
        <v>34</v>
      </c>
      <c r="C7" s="15"/>
      <c r="D7" s="40">
        <f t="shared" ca="1" si="0"/>
        <v>21.9</v>
      </c>
      <c r="E7" s="15">
        <v>2</v>
      </c>
      <c r="F7" s="21" t="s">
        <v>24</v>
      </c>
      <c r="G7" s="15">
        <v>17</v>
      </c>
      <c r="H7" s="15" t="s">
        <v>21</v>
      </c>
      <c r="I7" s="15">
        <f t="shared" ca="1" si="1"/>
        <v>2025</v>
      </c>
      <c r="J7" s="16">
        <v>0.5131134259259259</v>
      </c>
      <c r="K7" s="15" t="s">
        <v>22</v>
      </c>
      <c r="L7" s="41"/>
    </row>
    <row r="8" spans="1:13" ht="15" customHeight="1">
      <c r="A8" s="97" t="s">
        <v>198</v>
      </c>
      <c r="B8" s="15" t="s">
        <v>35</v>
      </c>
      <c r="C8" s="15"/>
      <c r="D8" s="40">
        <f t="shared" ca="1" si="0"/>
        <v>22.7</v>
      </c>
      <c r="E8" s="15">
        <v>2</v>
      </c>
      <c r="F8" s="21" t="s">
        <v>24</v>
      </c>
      <c r="G8" s="15">
        <v>17</v>
      </c>
      <c r="H8" s="15" t="s">
        <v>21</v>
      </c>
      <c r="I8" s="15">
        <f t="shared" ca="1" si="1"/>
        <v>2025</v>
      </c>
      <c r="J8" s="16">
        <v>0.52156250000000004</v>
      </c>
      <c r="K8" s="15" t="s">
        <v>22</v>
      </c>
      <c r="L8" s="41"/>
    </row>
    <row r="9" spans="1:13" ht="15" customHeight="1">
      <c r="A9" s="97" t="s">
        <v>199</v>
      </c>
      <c r="B9" s="15" t="s">
        <v>36</v>
      </c>
      <c r="C9" s="15"/>
      <c r="D9" s="40">
        <f t="shared" ca="1" si="0"/>
        <v>23.9</v>
      </c>
      <c r="E9" s="15">
        <v>1</v>
      </c>
      <c r="F9" s="21" t="s">
        <v>24</v>
      </c>
      <c r="G9" s="15">
        <v>17</v>
      </c>
      <c r="H9" s="15" t="s">
        <v>21</v>
      </c>
      <c r="I9" s="15">
        <f t="shared" ca="1" si="1"/>
        <v>2025</v>
      </c>
      <c r="J9" s="16">
        <v>0.59075231481481483</v>
      </c>
      <c r="K9" s="15" t="s">
        <v>22</v>
      </c>
      <c r="L9" s="41"/>
    </row>
    <row r="10" spans="1:13" ht="15" customHeight="1">
      <c r="A10" s="97" t="s">
        <v>200</v>
      </c>
      <c r="B10" s="15" t="s">
        <v>37</v>
      </c>
      <c r="C10" s="15"/>
      <c r="D10" s="40">
        <f t="shared" ca="1" si="0"/>
        <v>15.5</v>
      </c>
      <c r="E10" s="15">
        <v>1</v>
      </c>
      <c r="F10" s="21" t="s">
        <v>25</v>
      </c>
      <c r="G10" s="15">
        <v>18</v>
      </c>
      <c r="H10" s="15" t="s">
        <v>21</v>
      </c>
      <c r="I10" s="15">
        <f t="shared" ca="1" si="1"/>
        <v>2025</v>
      </c>
      <c r="J10" s="16">
        <v>0.66196759259259264</v>
      </c>
      <c r="K10" s="15" t="s">
        <v>22</v>
      </c>
      <c r="L10" s="41"/>
    </row>
    <row r="11" spans="1:13" ht="15" customHeight="1">
      <c r="A11" s="97" t="s">
        <v>201</v>
      </c>
      <c r="B11" s="15" t="s">
        <v>38</v>
      </c>
      <c r="C11" s="15"/>
      <c r="D11" s="40">
        <f t="shared" ca="1" si="0"/>
        <v>13.6</v>
      </c>
      <c r="E11" s="15">
        <v>1</v>
      </c>
      <c r="F11" s="21" t="s">
        <v>25</v>
      </c>
      <c r="G11" s="15">
        <v>18</v>
      </c>
      <c r="H11" s="15" t="s">
        <v>21</v>
      </c>
      <c r="I11" s="15">
        <f t="shared" ca="1" si="1"/>
        <v>2025</v>
      </c>
      <c r="J11" s="16">
        <v>0.68164351851851857</v>
      </c>
      <c r="K11" s="15" t="s">
        <v>22</v>
      </c>
      <c r="L11" s="41"/>
    </row>
    <row r="12" spans="1:13" ht="15" customHeight="1">
      <c r="A12" s="97" t="s">
        <v>202</v>
      </c>
      <c r="B12" s="15" t="s">
        <v>38</v>
      </c>
      <c r="C12" s="15"/>
      <c r="D12" s="40">
        <f t="shared" ca="1" si="0"/>
        <v>19.8</v>
      </c>
      <c r="E12" s="15">
        <v>1</v>
      </c>
      <c r="F12" s="21" t="s">
        <v>26</v>
      </c>
      <c r="G12" s="15">
        <v>19</v>
      </c>
      <c r="H12" s="15" t="s">
        <v>21</v>
      </c>
      <c r="I12" s="15">
        <f t="shared" ca="1" si="1"/>
        <v>2025</v>
      </c>
      <c r="J12" s="16">
        <v>0.7839814814814815</v>
      </c>
      <c r="K12" s="15" t="s">
        <v>22</v>
      </c>
      <c r="L12" s="41"/>
    </row>
    <row r="13" spans="1:13" ht="15" customHeight="1">
      <c r="A13" s="97" t="s">
        <v>203</v>
      </c>
      <c r="B13" s="15" t="s">
        <v>39</v>
      </c>
      <c r="C13" s="15"/>
      <c r="D13" s="40">
        <f t="shared" ca="1" si="0"/>
        <v>13.4</v>
      </c>
      <c r="E13" s="15">
        <v>2</v>
      </c>
      <c r="F13" s="21" t="s">
        <v>27</v>
      </c>
      <c r="G13" s="15">
        <v>20</v>
      </c>
      <c r="H13" s="15" t="s">
        <v>21</v>
      </c>
      <c r="I13" s="15">
        <f t="shared" ca="1" si="1"/>
        <v>2025</v>
      </c>
      <c r="J13" s="16">
        <v>0.71112268518518518</v>
      </c>
      <c r="K13" s="15" t="s">
        <v>22</v>
      </c>
      <c r="L13" s="41"/>
    </row>
    <row r="14" spans="1:13" ht="15" customHeight="1">
      <c r="A14" s="97" t="s">
        <v>204</v>
      </c>
      <c r="B14" s="15" t="s">
        <v>40</v>
      </c>
      <c r="C14" s="15"/>
      <c r="D14" s="40">
        <f t="shared" ca="1" si="0"/>
        <v>13.2</v>
      </c>
      <c r="E14" s="15">
        <v>1</v>
      </c>
      <c r="F14" s="21" t="s">
        <v>28</v>
      </c>
      <c r="G14" s="15">
        <v>21</v>
      </c>
      <c r="H14" s="15" t="s">
        <v>21</v>
      </c>
      <c r="I14" s="15">
        <f t="shared" ca="1" si="1"/>
        <v>2025</v>
      </c>
      <c r="J14" s="16">
        <v>0.3203125</v>
      </c>
      <c r="K14" s="15" t="s">
        <v>22</v>
      </c>
      <c r="L14" s="41"/>
    </row>
    <row r="15" spans="1:13" ht="15" customHeight="1">
      <c r="A15" s="97" t="s">
        <v>205</v>
      </c>
      <c r="B15" s="15" t="s">
        <v>41</v>
      </c>
      <c r="C15" s="15"/>
      <c r="D15" s="40">
        <f t="shared" ca="1" si="0"/>
        <v>20</v>
      </c>
      <c r="E15" s="15">
        <v>2</v>
      </c>
      <c r="F15" s="21" t="s">
        <v>28</v>
      </c>
      <c r="G15" s="15">
        <v>21</v>
      </c>
      <c r="H15" s="15" t="s">
        <v>21</v>
      </c>
      <c r="I15" s="15">
        <f t="shared" ca="1" si="1"/>
        <v>2025</v>
      </c>
      <c r="J15" s="16">
        <v>0.73304398148148142</v>
      </c>
      <c r="K15" s="15" t="s">
        <v>22</v>
      </c>
      <c r="L15" s="41"/>
    </row>
    <row r="16" spans="1:13" ht="15" customHeight="1">
      <c r="A16" s="97" t="s">
        <v>206</v>
      </c>
      <c r="B16" s="15" t="s">
        <v>42</v>
      </c>
      <c r="C16" s="15"/>
      <c r="D16" s="40">
        <f t="shared" ca="1" si="0"/>
        <v>12.8</v>
      </c>
      <c r="E16" s="15">
        <v>1</v>
      </c>
      <c r="F16" s="21" t="s">
        <v>23</v>
      </c>
      <c r="G16" s="15">
        <v>23</v>
      </c>
      <c r="H16" s="15" t="s">
        <v>21</v>
      </c>
      <c r="I16" s="15">
        <f t="shared" ca="1" si="1"/>
        <v>2025</v>
      </c>
      <c r="J16" s="16">
        <v>0.45883101851851849</v>
      </c>
      <c r="K16" s="15" t="s">
        <v>22</v>
      </c>
      <c r="L16" s="41"/>
      <c r="M16" s="42"/>
    </row>
    <row r="17" spans="1:13" ht="15" customHeight="1">
      <c r="A17" s="97" t="s">
        <v>207</v>
      </c>
      <c r="B17" s="15" t="s">
        <v>43</v>
      </c>
      <c r="C17" s="15"/>
      <c r="D17" s="40">
        <f t="shared" ca="1" si="0"/>
        <v>11.2</v>
      </c>
      <c r="E17" s="15">
        <v>1</v>
      </c>
      <c r="F17" s="21" t="s">
        <v>23</v>
      </c>
      <c r="G17" s="15">
        <v>23</v>
      </c>
      <c r="H17" s="15" t="s">
        <v>21</v>
      </c>
      <c r="I17" s="15">
        <f t="shared" ca="1" si="1"/>
        <v>2025</v>
      </c>
      <c r="J17" s="16">
        <v>0.92083333333333339</v>
      </c>
      <c r="K17" s="15" t="s">
        <v>22</v>
      </c>
      <c r="L17" s="41"/>
      <c r="M17" s="42"/>
    </row>
    <row r="18" spans="1:13" ht="15" customHeight="1">
      <c r="A18" s="97" t="s">
        <v>208</v>
      </c>
      <c r="B18" s="15" t="s">
        <v>44</v>
      </c>
      <c r="C18" s="15"/>
      <c r="D18" s="40">
        <f t="shared" ca="1" si="0"/>
        <v>14.2</v>
      </c>
      <c r="E18" s="15">
        <v>1</v>
      </c>
      <c r="F18" s="21" t="s">
        <v>24</v>
      </c>
      <c r="G18" s="15">
        <v>24</v>
      </c>
      <c r="H18" s="15" t="s">
        <v>21</v>
      </c>
      <c r="I18" s="15">
        <f t="shared" ca="1" si="1"/>
        <v>2025</v>
      </c>
      <c r="J18" s="16">
        <v>0.83994212962962955</v>
      </c>
      <c r="K18" s="15" t="s">
        <v>22</v>
      </c>
      <c r="L18" s="41"/>
      <c r="M18" s="42"/>
    </row>
    <row r="19" spans="1:13" ht="15" customHeight="1">
      <c r="A19" s="97" t="s">
        <v>209</v>
      </c>
      <c r="B19" s="15" t="s">
        <v>45</v>
      </c>
      <c r="C19" s="15"/>
      <c r="D19" s="40">
        <f t="shared" ca="1" si="0"/>
        <v>20.399999999999999</v>
      </c>
      <c r="E19" s="15">
        <v>2</v>
      </c>
      <c r="F19" s="21" t="s">
        <v>24</v>
      </c>
      <c r="G19" s="15">
        <v>24</v>
      </c>
      <c r="H19" s="15" t="s">
        <v>21</v>
      </c>
      <c r="I19" s="15">
        <f t="shared" ca="1" si="1"/>
        <v>2025</v>
      </c>
      <c r="J19" s="16">
        <v>0.93158564814814815</v>
      </c>
      <c r="K19" s="15" t="s">
        <v>22</v>
      </c>
      <c r="L19" s="41"/>
      <c r="M19" s="42"/>
    </row>
    <row r="20" spans="1:13" ht="15" customHeight="1">
      <c r="A20" s="97" t="s">
        <v>210</v>
      </c>
      <c r="B20" s="15" t="s">
        <v>46</v>
      </c>
      <c r="C20" s="15"/>
      <c r="D20" s="40">
        <f t="shared" ca="1" si="0"/>
        <v>29.5</v>
      </c>
      <c r="E20" s="15">
        <v>1</v>
      </c>
      <c r="F20" s="21" t="s">
        <v>25</v>
      </c>
      <c r="G20" s="15">
        <v>25</v>
      </c>
      <c r="H20" s="15" t="s">
        <v>21</v>
      </c>
      <c r="I20" s="15">
        <f t="shared" ca="1" si="1"/>
        <v>2025</v>
      </c>
      <c r="J20" s="16">
        <v>0.95686342592592588</v>
      </c>
      <c r="K20" s="15" t="s">
        <v>22</v>
      </c>
      <c r="L20" s="41"/>
      <c r="M20" s="42"/>
    </row>
    <row r="21" spans="1:13" ht="15" customHeight="1">
      <c r="A21" s="97" t="s">
        <v>211</v>
      </c>
      <c r="B21" s="15" t="s">
        <v>47</v>
      </c>
      <c r="C21" s="15"/>
      <c r="D21" s="40">
        <f t="shared" ca="1" si="0"/>
        <v>28.1</v>
      </c>
      <c r="E21" s="15">
        <v>1</v>
      </c>
      <c r="F21" s="21" t="s">
        <v>26</v>
      </c>
      <c r="G21" s="15">
        <v>26</v>
      </c>
      <c r="H21" s="15" t="s">
        <v>21</v>
      </c>
      <c r="I21" s="15">
        <f t="shared" ca="1" si="1"/>
        <v>2025</v>
      </c>
      <c r="J21" s="16">
        <v>0.42584490740740738</v>
      </c>
      <c r="K21" s="15" t="s">
        <v>22</v>
      </c>
      <c r="L21" s="41"/>
      <c r="M21" s="42"/>
    </row>
    <row r="22" spans="1:13" ht="15" customHeight="1">
      <c r="A22" s="97" t="s">
        <v>212</v>
      </c>
      <c r="B22" s="15" t="s">
        <v>48</v>
      </c>
      <c r="C22" s="15"/>
      <c r="D22" s="40">
        <f t="shared" ca="1" si="0"/>
        <v>25.6</v>
      </c>
      <c r="E22" s="15">
        <v>2</v>
      </c>
      <c r="F22" s="21" t="s">
        <v>26</v>
      </c>
      <c r="G22" s="15">
        <v>26</v>
      </c>
      <c r="H22" s="15" t="s">
        <v>21</v>
      </c>
      <c r="I22" s="15">
        <f t="shared" ca="1" si="1"/>
        <v>2025</v>
      </c>
      <c r="J22" s="16">
        <v>0.53960648148148149</v>
      </c>
      <c r="K22" s="15" t="s">
        <v>22</v>
      </c>
      <c r="L22" s="41"/>
    </row>
    <row r="23" spans="1:13" ht="15" customHeight="1">
      <c r="A23" s="97" t="s">
        <v>213</v>
      </c>
      <c r="B23" s="15" t="s">
        <v>49</v>
      </c>
      <c r="C23" s="15"/>
      <c r="D23" s="40">
        <f t="shared" ca="1" si="0"/>
        <v>28.6</v>
      </c>
      <c r="E23" s="15">
        <v>1</v>
      </c>
      <c r="F23" s="21" t="s">
        <v>26</v>
      </c>
      <c r="G23" s="15">
        <v>26</v>
      </c>
      <c r="H23" s="15" t="s">
        <v>21</v>
      </c>
      <c r="I23" s="15">
        <f t="shared" ca="1" si="1"/>
        <v>2025</v>
      </c>
      <c r="J23" s="16">
        <v>0.58559027777777783</v>
      </c>
      <c r="K23" s="15" t="s">
        <v>22</v>
      </c>
      <c r="L23" s="41"/>
    </row>
    <row r="24" spans="1:13" ht="15" customHeight="1">
      <c r="A24" s="97" t="s">
        <v>214</v>
      </c>
      <c r="B24" s="15" t="s">
        <v>50</v>
      </c>
      <c r="C24" s="15"/>
      <c r="D24" s="40">
        <f t="shared" ca="1" si="0"/>
        <v>14.4</v>
      </c>
      <c r="E24" s="15">
        <v>3</v>
      </c>
      <c r="F24" s="21" t="s">
        <v>26</v>
      </c>
      <c r="G24" s="15">
        <v>26</v>
      </c>
      <c r="H24" s="15" t="s">
        <v>21</v>
      </c>
      <c r="I24" s="15">
        <f t="shared" ca="1" si="1"/>
        <v>2025</v>
      </c>
      <c r="J24" s="16">
        <v>0.62951388888888882</v>
      </c>
      <c r="K24" s="15" t="s">
        <v>22</v>
      </c>
      <c r="L24" s="41"/>
    </row>
    <row r="25" spans="1:13" ht="15" customHeight="1">
      <c r="A25" s="97" t="s">
        <v>215</v>
      </c>
      <c r="B25" s="15" t="s">
        <v>51</v>
      </c>
      <c r="C25" s="15"/>
      <c r="D25" s="40">
        <f t="shared" ca="1" si="0"/>
        <v>10.6</v>
      </c>
      <c r="E25" s="15">
        <v>1</v>
      </c>
      <c r="F25" s="21" t="s">
        <v>27</v>
      </c>
      <c r="G25" s="15">
        <v>27</v>
      </c>
      <c r="H25" s="15" t="s">
        <v>21</v>
      </c>
      <c r="I25" s="15">
        <f t="shared" ca="1" si="1"/>
        <v>2025</v>
      </c>
      <c r="J25" s="16">
        <v>0.9234837962962964</v>
      </c>
      <c r="K25" s="15" t="s">
        <v>22</v>
      </c>
      <c r="L25" s="41"/>
    </row>
    <row r="26" spans="1:13" ht="15" customHeight="1" thickBot="1">
      <c r="A26" s="98" t="s">
        <v>216</v>
      </c>
      <c r="B26" s="17" t="s">
        <v>52</v>
      </c>
      <c r="C26" s="17"/>
      <c r="D26" s="43">
        <f t="shared" ca="1" si="0"/>
        <v>24.3</v>
      </c>
      <c r="E26" s="17">
        <v>1</v>
      </c>
      <c r="F26" s="22" t="s">
        <v>28</v>
      </c>
      <c r="G26" s="23">
        <v>28</v>
      </c>
      <c r="H26" s="23" t="s">
        <v>21</v>
      </c>
      <c r="I26" s="23">
        <f t="shared" ca="1" si="1"/>
        <v>2025</v>
      </c>
      <c r="J26" s="24">
        <v>0.5770601851851852</v>
      </c>
      <c r="K26" s="23" t="s">
        <v>22</v>
      </c>
      <c r="L26" s="44"/>
    </row>
  </sheetData>
  <customSheetViews>
    <customSheetView guid="{F9B480CE-077C-416E-ACF9-56227F746F4A}">
      <selection activeCell="N31" sqref="N31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N31" sqref="N31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S51"/>
  <sheetViews>
    <sheetView topLeftCell="A4" workbookViewId="0">
      <selection activeCell="M31" sqref="M31"/>
    </sheetView>
  </sheetViews>
  <sheetFormatPr defaultRowHeight="12.75"/>
  <cols>
    <col min="1" max="1" width="11" bestFit="1" customWidth="1"/>
    <col min="2" max="2" width="13.140625" bestFit="1" customWidth="1"/>
    <col min="3" max="3" width="9" hidden="1" customWidth="1"/>
    <col min="4" max="4" width="12.140625" customWidth="1"/>
    <col min="5" max="5" width="18" bestFit="1" customWidth="1"/>
    <col min="6" max="6" width="14.42578125" bestFit="1" customWidth="1"/>
    <col min="7" max="7" width="12.28515625" bestFit="1" customWidth="1"/>
  </cols>
  <sheetData>
    <row r="1" spans="1:19" ht="13.5" thickBot="1">
      <c r="A1" s="63" t="s">
        <v>86</v>
      </c>
      <c r="B1" s="61" t="s">
        <v>87</v>
      </c>
      <c r="C1" s="61" t="s">
        <v>88</v>
      </c>
      <c r="D1" s="61" t="s">
        <v>88</v>
      </c>
      <c r="E1" s="61" t="s">
        <v>92</v>
      </c>
      <c r="F1" s="62" t="s">
        <v>93</v>
      </c>
      <c r="R1">
        <v>1</v>
      </c>
      <c r="S1" t="s">
        <v>89</v>
      </c>
    </row>
    <row r="2" spans="1:19" ht="15" customHeight="1">
      <c r="A2" s="56" t="str">
        <f ca="1">"60"&amp;2*ROUND(RAND()*4,0)&amp;ROUND(RAND()*800000+100000,0)</f>
        <v>604838423</v>
      </c>
      <c r="B2" s="57">
        <f ca="1">ROUND(RAND()*200+10,1)</f>
        <v>57.4</v>
      </c>
      <c r="C2" s="58">
        <f ca="1">ROUND(RAND()*2+1,0)</f>
        <v>2</v>
      </c>
      <c r="D2" s="59" t="str">
        <f ca="1">VLOOKUP(C2,$R$1:$S$3,2)</f>
        <v>zdrapka</v>
      </c>
      <c r="E2" s="64">
        <f ca="1">ROUND(RAND()*365+40179,4)</f>
        <v>40190.075299999997</v>
      </c>
      <c r="F2" s="60"/>
      <c r="G2" s="45"/>
      <c r="R2">
        <v>2</v>
      </c>
      <c r="S2" t="s">
        <v>90</v>
      </c>
    </row>
    <row r="3" spans="1:19" ht="15" customHeight="1">
      <c r="A3" s="49" t="str">
        <f t="shared" ref="A3:A51" ca="1" si="0">"60"&amp;2*ROUND(RAND()*4,0)&amp;ROUND(RAND()*800000+100000,0)</f>
        <v>608670535</v>
      </c>
      <c r="B3" s="46">
        <f t="shared" ref="B3:B26" ca="1" si="1">ROUND(RAND()*200+10,1)</f>
        <v>95.6</v>
      </c>
      <c r="C3" s="47">
        <f t="shared" ref="C3:C26" ca="1" si="2">ROUND(RAND()*2+1,0)</f>
        <v>3</v>
      </c>
      <c r="D3" s="48" t="str">
        <f t="shared" ref="D3:D51" ca="1" si="3">VLOOKUP(C3,$R$1:$S$3,2)</f>
        <v>bankomat</v>
      </c>
      <c r="E3" s="65">
        <f t="shared" ref="E3:E51" ca="1" si="4">ROUND(RAND()*365+40179,4)</f>
        <v>40274.039199999999</v>
      </c>
      <c r="F3" s="50"/>
      <c r="R3">
        <v>3</v>
      </c>
      <c r="S3" t="s">
        <v>91</v>
      </c>
    </row>
    <row r="4" spans="1:19" ht="15" customHeight="1">
      <c r="A4" s="49" t="str">
        <f t="shared" ca="1" si="0"/>
        <v>608138984</v>
      </c>
      <c r="B4" s="46">
        <f t="shared" ca="1" si="1"/>
        <v>104.2</v>
      </c>
      <c r="C4" s="47">
        <f t="shared" ca="1" si="2"/>
        <v>2</v>
      </c>
      <c r="D4" s="48" t="str">
        <f t="shared" ca="1" si="3"/>
        <v>zdrapka</v>
      </c>
      <c r="E4" s="65">
        <f t="shared" ca="1" si="4"/>
        <v>40394.7693</v>
      </c>
      <c r="F4" s="50"/>
    </row>
    <row r="5" spans="1:19" ht="15" customHeight="1">
      <c r="A5" s="49" t="str">
        <f t="shared" ca="1" si="0"/>
        <v>606772685</v>
      </c>
      <c r="B5" s="46">
        <f t="shared" ca="1" si="1"/>
        <v>20.5</v>
      </c>
      <c r="C5" s="47">
        <f t="shared" ca="1" si="2"/>
        <v>3</v>
      </c>
      <c r="D5" s="48" t="str">
        <f t="shared" ca="1" si="3"/>
        <v>bankomat</v>
      </c>
      <c r="E5" s="65">
        <f t="shared" ca="1" si="4"/>
        <v>40359.068899999998</v>
      </c>
      <c r="F5" s="50"/>
    </row>
    <row r="6" spans="1:19" ht="15" customHeight="1">
      <c r="A6" s="49" t="str">
        <f t="shared" ca="1" si="0"/>
        <v>600803052</v>
      </c>
      <c r="B6" s="46">
        <f t="shared" ca="1" si="1"/>
        <v>110.9</v>
      </c>
      <c r="C6" s="47">
        <f t="shared" ca="1" si="2"/>
        <v>3</v>
      </c>
      <c r="D6" s="48" t="str">
        <f t="shared" ca="1" si="3"/>
        <v>bankomat</v>
      </c>
      <c r="E6" s="65">
        <f t="shared" ca="1" si="4"/>
        <v>40249.451500000003</v>
      </c>
      <c r="F6" s="50"/>
    </row>
    <row r="7" spans="1:19" ht="15" customHeight="1">
      <c r="A7" s="49" t="str">
        <f t="shared" ca="1" si="0"/>
        <v>602632547</v>
      </c>
      <c r="B7" s="46">
        <f t="shared" ca="1" si="1"/>
        <v>128</v>
      </c>
      <c r="C7" s="47">
        <f t="shared" ca="1" si="2"/>
        <v>2</v>
      </c>
      <c r="D7" s="48" t="str">
        <f t="shared" ca="1" si="3"/>
        <v>zdrapka</v>
      </c>
      <c r="E7" s="65">
        <f t="shared" ca="1" si="4"/>
        <v>40333.1077</v>
      </c>
      <c r="F7" s="50"/>
    </row>
    <row r="8" spans="1:19" ht="15" customHeight="1">
      <c r="A8" s="49" t="str">
        <f t="shared" ca="1" si="0"/>
        <v>604568363</v>
      </c>
      <c r="B8" s="46">
        <f t="shared" ca="1" si="1"/>
        <v>92.3</v>
      </c>
      <c r="C8" s="47">
        <f t="shared" ca="1" si="2"/>
        <v>2</v>
      </c>
      <c r="D8" s="48" t="str">
        <f t="shared" ca="1" si="3"/>
        <v>zdrapka</v>
      </c>
      <c r="E8" s="65">
        <f t="shared" ca="1" si="4"/>
        <v>40399.946600000003</v>
      </c>
      <c r="F8" s="50"/>
    </row>
    <row r="9" spans="1:19" ht="15" customHeight="1">
      <c r="A9" s="49" t="str">
        <f t="shared" ca="1" si="0"/>
        <v>600504052</v>
      </c>
      <c r="B9" s="46">
        <f t="shared" ca="1" si="1"/>
        <v>151.69999999999999</v>
      </c>
      <c r="C9" s="47">
        <f t="shared" ca="1" si="2"/>
        <v>2</v>
      </c>
      <c r="D9" s="48" t="str">
        <f t="shared" ca="1" si="3"/>
        <v>zdrapka</v>
      </c>
      <c r="E9" s="65">
        <f t="shared" ca="1" si="4"/>
        <v>40495.724300000002</v>
      </c>
      <c r="F9" s="50"/>
    </row>
    <row r="10" spans="1:19" ht="15" customHeight="1">
      <c r="A10" s="49" t="str">
        <f t="shared" ca="1" si="0"/>
        <v>606464520</v>
      </c>
      <c r="B10" s="46">
        <f t="shared" ca="1" si="1"/>
        <v>119.5</v>
      </c>
      <c r="C10" s="47">
        <f t="shared" ca="1" si="2"/>
        <v>3</v>
      </c>
      <c r="D10" s="48" t="str">
        <f t="shared" ca="1" si="3"/>
        <v>bankomat</v>
      </c>
      <c r="E10" s="65">
        <f t="shared" ca="1" si="4"/>
        <v>40185.320899999999</v>
      </c>
      <c r="F10" s="50"/>
    </row>
    <row r="11" spans="1:19" ht="15" customHeight="1">
      <c r="A11" s="49" t="str">
        <f t="shared" ca="1" si="0"/>
        <v>604677824</v>
      </c>
      <c r="B11" s="46">
        <f t="shared" ca="1" si="1"/>
        <v>173.4</v>
      </c>
      <c r="C11" s="47">
        <f t="shared" ca="1" si="2"/>
        <v>2</v>
      </c>
      <c r="D11" s="48" t="str">
        <f t="shared" ca="1" si="3"/>
        <v>zdrapka</v>
      </c>
      <c r="E11" s="65">
        <f t="shared" ca="1" si="4"/>
        <v>40192.1155</v>
      </c>
      <c r="F11" s="50"/>
    </row>
    <row r="12" spans="1:19" ht="15" customHeight="1">
      <c r="A12" s="49" t="str">
        <f t="shared" ca="1" si="0"/>
        <v>602185500</v>
      </c>
      <c r="B12" s="46">
        <f t="shared" ca="1" si="1"/>
        <v>146.80000000000001</v>
      </c>
      <c r="C12" s="47">
        <f t="shared" ca="1" si="2"/>
        <v>3</v>
      </c>
      <c r="D12" s="48" t="str">
        <f t="shared" ca="1" si="3"/>
        <v>bankomat</v>
      </c>
      <c r="E12" s="65">
        <f t="shared" ca="1" si="4"/>
        <v>40467.338799999998</v>
      </c>
      <c r="F12" s="50"/>
    </row>
    <row r="13" spans="1:19" ht="15" customHeight="1">
      <c r="A13" s="49" t="str">
        <f t="shared" ca="1" si="0"/>
        <v>602734628</v>
      </c>
      <c r="B13" s="46">
        <f t="shared" ca="1" si="1"/>
        <v>124.4</v>
      </c>
      <c r="C13" s="47">
        <f t="shared" ca="1" si="2"/>
        <v>2</v>
      </c>
      <c r="D13" s="48" t="str">
        <f t="shared" ca="1" si="3"/>
        <v>zdrapka</v>
      </c>
      <c r="E13" s="65">
        <f t="shared" ca="1" si="4"/>
        <v>40195.423300000002</v>
      </c>
      <c r="F13" s="50"/>
    </row>
    <row r="14" spans="1:19" ht="15" customHeight="1">
      <c r="A14" s="49" t="str">
        <f t="shared" ca="1" si="0"/>
        <v>606793282</v>
      </c>
      <c r="B14" s="46">
        <f t="shared" ca="1" si="1"/>
        <v>100.7</v>
      </c>
      <c r="C14" s="47">
        <f t="shared" ca="1" si="2"/>
        <v>2</v>
      </c>
      <c r="D14" s="48" t="str">
        <f t="shared" ca="1" si="3"/>
        <v>zdrapka</v>
      </c>
      <c r="E14" s="65">
        <f t="shared" ca="1" si="4"/>
        <v>40242.1944</v>
      </c>
      <c r="F14" s="50"/>
    </row>
    <row r="15" spans="1:19" ht="15" customHeight="1">
      <c r="A15" s="49" t="str">
        <f t="shared" ca="1" si="0"/>
        <v>602677228</v>
      </c>
      <c r="B15" s="46">
        <f t="shared" ca="1" si="1"/>
        <v>186.1</v>
      </c>
      <c r="C15" s="47">
        <f t="shared" ca="1" si="2"/>
        <v>2</v>
      </c>
      <c r="D15" s="48" t="str">
        <f t="shared" ca="1" si="3"/>
        <v>zdrapka</v>
      </c>
      <c r="E15" s="65">
        <f t="shared" ca="1" si="4"/>
        <v>40388.274899999997</v>
      </c>
      <c r="F15" s="50"/>
    </row>
    <row r="16" spans="1:19" ht="15" customHeight="1">
      <c r="A16" s="49" t="str">
        <f t="shared" ca="1" si="0"/>
        <v>608393520</v>
      </c>
      <c r="B16" s="46">
        <f t="shared" ca="1" si="1"/>
        <v>158.30000000000001</v>
      </c>
      <c r="C16" s="47">
        <f t="shared" ca="1" si="2"/>
        <v>1</v>
      </c>
      <c r="D16" s="48" t="str">
        <f t="shared" ca="1" si="3"/>
        <v>internet</v>
      </c>
      <c r="E16" s="65">
        <f t="shared" ca="1" si="4"/>
        <v>40523.087699999996</v>
      </c>
      <c r="F16" s="50"/>
      <c r="G16" s="42"/>
    </row>
    <row r="17" spans="1:7" ht="15" customHeight="1">
      <c r="A17" s="49" t="str">
        <f t="shared" ca="1" si="0"/>
        <v>600151965</v>
      </c>
      <c r="B17" s="46">
        <f t="shared" ca="1" si="1"/>
        <v>40.799999999999997</v>
      </c>
      <c r="C17" s="47">
        <f t="shared" ca="1" si="2"/>
        <v>3</v>
      </c>
      <c r="D17" s="48" t="str">
        <f t="shared" ca="1" si="3"/>
        <v>bankomat</v>
      </c>
      <c r="E17" s="65">
        <f t="shared" ca="1" si="4"/>
        <v>40433.526400000002</v>
      </c>
      <c r="F17" s="50"/>
      <c r="G17" s="42"/>
    </row>
    <row r="18" spans="1:7" ht="15" customHeight="1">
      <c r="A18" s="49" t="str">
        <f t="shared" ca="1" si="0"/>
        <v>606445670</v>
      </c>
      <c r="B18" s="46">
        <f t="shared" ca="1" si="1"/>
        <v>157.6</v>
      </c>
      <c r="C18" s="47">
        <f t="shared" ca="1" si="2"/>
        <v>3</v>
      </c>
      <c r="D18" s="48" t="str">
        <f t="shared" ca="1" si="3"/>
        <v>bankomat</v>
      </c>
      <c r="E18" s="65">
        <f t="shared" ca="1" si="4"/>
        <v>40360.806299999997</v>
      </c>
      <c r="F18" s="50"/>
      <c r="G18" s="42"/>
    </row>
    <row r="19" spans="1:7" ht="15" customHeight="1">
      <c r="A19" s="49" t="str">
        <f t="shared" ca="1" si="0"/>
        <v>600153000</v>
      </c>
      <c r="B19" s="46">
        <f t="shared" ca="1" si="1"/>
        <v>30.1</v>
      </c>
      <c r="C19" s="47">
        <f t="shared" ca="1" si="2"/>
        <v>2</v>
      </c>
      <c r="D19" s="48" t="str">
        <f t="shared" ca="1" si="3"/>
        <v>zdrapka</v>
      </c>
      <c r="E19" s="65">
        <f t="shared" ca="1" si="4"/>
        <v>40495.453399999999</v>
      </c>
      <c r="F19" s="50"/>
      <c r="G19" s="42"/>
    </row>
    <row r="20" spans="1:7" ht="15" customHeight="1">
      <c r="A20" s="49" t="str">
        <f t="shared" ca="1" si="0"/>
        <v>600419914</v>
      </c>
      <c r="B20" s="46">
        <f t="shared" ca="1" si="1"/>
        <v>124.8</v>
      </c>
      <c r="C20" s="47">
        <f t="shared" ca="1" si="2"/>
        <v>1</v>
      </c>
      <c r="D20" s="48" t="str">
        <f t="shared" ca="1" si="3"/>
        <v>internet</v>
      </c>
      <c r="E20" s="65">
        <f t="shared" ca="1" si="4"/>
        <v>40225.8024</v>
      </c>
      <c r="F20" s="50"/>
      <c r="G20" s="42"/>
    </row>
    <row r="21" spans="1:7" ht="15" customHeight="1">
      <c r="A21" s="49" t="str">
        <f t="shared" ca="1" si="0"/>
        <v>602556198</v>
      </c>
      <c r="B21" s="46">
        <f t="shared" ca="1" si="1"/>
        <v>143</v>
      </c>
      <c r="C21" s="47">
        <f t="shared" ca="1" si="2"/>
        <v>2</v>
      </c>
      <c r="D21" s="48" t="str">
        <f t="shared" ca="1" si="3"/>
        <v>zdrapka</v>
      </c>
      <c r="E21" s="65">
        <f t="shared" ca="1" si="4"/>
        <v>40231.373899999999</v>
      </c>
      <c r="F21" s="50"/>
      <c r="G21" s="42"/>
    </row>
    <row r="22" spans="1:7" ht="15" customHeight="1">
      <c r="A22" s="49" t="str">
        <f t="shared" ca="1" si="0"/>
        <v>606533235</v>
      </c>
      <c r="B22" s="46">
        <f t="shared" ca="1" si="1"/>
        <v>108.7</v>
      </c>
      <c r="C22" s="47">
        <f t="shared" ca="1" si="2"/>
        <v>2</v>
      </c>
      <c r="D22" s="48" t="str">
        <f t="shared" ca="1" si="3"/>
        <v>zdrapka</v>
      </c>
      <c r="E22" s="65">
        <f t="shared" ca="1" si="4"/>
        <v>40447.208500000001</v>
      </c>
      <c r="F22" s="50"/>
    </row>
    <row r="23" spans="1:7" ht="15" customHeight="1">
      <c r="A23" s="49" t="str">
        <f t="shared" ca="1" si="0"/>
        <v>604626114</v>
      </c>
      <c r="B23" s="46">
        <f t="shared" ca="1" si="1"/>
        <v>143.9</v>
      </c>
      <c r="C23" s="47">
        <f t="shared" ca="1" si="2"/>
        <v>3</v>
      </c>
      <c r="D23" s="48" t="str">
        <f t="shared" ca="1" si="3"/>
        <v>bankomat</v>
      </c>
      <c r="E23" s="65">
        <f t="shared" ca="1" si="4"/>
        <v>40315.837</v>
      </c>
      <c r="F23" s="50"/>
    </row>
    <row r="24" spans="1:7" ht="15" customHeight="1">
      <c r="A24" s="49" t="str">
        <f t="shared" ca="1" si="0"/>
        <v>606360850</v>
      </c>
      <c r="B24" s="46">
        <f t="shared" ca="1" si="1"/>
        <v>123</v>
      </c>
      <c r="C24" s="47">
        <f t="shared" ca="1" si="2"/>
        <v>3</v>
      </c>
      <c r="D24" s="48" t="str">
        <f t="shared" ca="1" si="3"/>
        <v>bankomat</v>
      </c>
      <c r="E24" s="65">
        <f t="shared" ca="1" si="4"/>
        <v>40194.156300000002</v>
      </c>
      <c r="F24" s="50"/>
    </row>
    <row r="25" spans="1:7" ht="15" customHeight="1">
      <c r="A25" s="49" t="str">
        <f t="shared" ca="1" si="0"/>
        <v>606633383</v>
      </c>
      <c r="B25" s="46">
        <f t="shared" ca="1" si="1"/>
        <v>114.5</v>
      </c>
      <c r="C25" s="47">
        <f t="shared" ca="1" si="2"/>
        <v>3</v>
      </c>
      <c r="D25" s="48" t="str">
        <f t="shared" ca="1" si="3"/>
        <v>bankomat</v>
      </c>
      <c r="E25" s="65">
        <f t="shared" ca="1" si="4"/>
        <v>40408.263299999999</v>
      </c>
      <c r="F25" s="50"/>
    </row>
    <row r="26" spans="1:7" ht="15" customHeight="1">
      <c r="A26" s="49" t="str">
        <f t="shared" ca="1" si="0"/>
        <v>602282250</v>
      </c>
      <c r="B26" s="46">
        <f t="shared" ca="1" si="1"/>
        <v>99.3</v>
      </c>
      <c r="C26" s="47">
        <f t="shared" ca="1" si="2"/>
        <v>2</v>
      </c>
      <c r="D26" s="48" t="str">
        <f t="shared" ca="1" si="3"/>
        <v>zdrapka</v>
      </c>
      <c r="E26" s="65">
        <f t="shared" ca="1" si="4"/>
        <v>40388.556700000001</v>
      </c>
      <c r="F26" s="50"/>
    </row>
    <row r="27" spans="1:7" ht="15">
      <c r="A27" s="49" t="str">
        <f t="shared" ca="1" si="0"/>
        <v>602530919</v>
      </c>
      <c r="B27" s="46">
        <f ca="1">ROUND(RAND()*200+10,1)</f>
        <v>133</v>
      </c>
      <c r="C27" s="47">
        <f ca="1">ROUND(RAND()*2+1,0)</f>
        <v>2</v>
      </c>
      <c r="D27" s="48" t="str">
        <f t="shared" ca="1" si="3"/>
        <v>zdrapka</v>
      </c>
      <c r="E27" s="65">
        <f t="shared" ca="1" si="4"/>
        <v>40204.854800000001</v>
      </c>
      <c r="F27" s="50"/>
    </row>
    <row r="28" spans="1:7" ht="15">
      <c r="A28" s="49" t="str">
        <f t="shared" ca="1" si="0"/>
        <v>604320254</v>
      </c>
      <c r="B28" s="46">
        <f t="shared" ref="B28:B51" ca="1" si="5">ROUND(RAND()*200+10,1)</f>
        <v>25.4</v>
      </c>
      <c r="C28" s="47">
        <f t="shared" ref="C28:C51" ca="1" si="6">ROUND(RAND()*2+1,0)</f>
        <v>3</v>
      </c>
      <c r="D28" s="48" t="str">
        <f t="shared" ca="1" si="3"/>
        <v>bankomat</v>
      </c>
      <c r="E28" s="65">
        <f t="shared" ca="1" si="4"/>
        <v>40294.5821</v>
      </c>
      <c r="F28" s="50"/>
    </row>
    <row r="29" spans="1:7" ht="15">
      <c r="A29" s="49" t="str">
        <f t="shared" ca="1" si="0"/>
        <v>608249576</v>
      </c>
      <c r="B29" s="46">
        <f t="shared" ca="1" si="5"/>
        <v>49.5</v>
      </c>
      <c r="C29" s="47">
        <f t="shared" ca="1" si="6"/>
        <v>1</v>
      </c>
      <c r="D29" s="48" t="str">
        <f t="shared" ca="1" si="3"/>
        <v>internet</v>
      </c>
      <c r="E29" s="65">
        <f t="shared" ca="1" si="4"/>
        <v>40280.572999999997</v>
      </c>
      <c r="F29" s="50"/>
    </row>
    <row r="30" spans="1:7" ht="15">
      <c r="A30" s="49" t="str">
        <f t="shared" ca="1" si="0"/>
        <v>606518142</v>
      </c>
      <c r="B30" s="46">
        <f t="shared" ca="1" si="5"/>
        <v>66.3</v>
      </c>
      <c r="C30" s="47">
        <f t="shared" ca="1" si="6"/>
        <v>2</v>
      </c>
      <c r="D30" s="48" t="str">
        <f t="shared" ca="1" si="3"/>
        <v>zdrapka</v>
      </c>
      <c r="E30" s="65">
        <f t="shared" ca="1" si="4"/>
        <v>40252.411</v>
      </c>
      <c r="F30" s="50"/>
    </row>
    <row r="31" spans="1:7" ht="15">
      <c r="A31" s="49" t="str">
        <f t="shared" ca="1" si="0"/>
        <v>602504228</v>
      </c>
      <c r="B31" s="46">
        <f t="shared" ca="1" si="5"/>
        <v>164.5</v>
      </c>
      <c r="C31" s="47">
        <f t="shared" ca="1" si="6"/>
        <v>2</v>
      </c>
      <c r="D31" s="48" t="str">
        <f t="shared" ca="1" si="3"/>
        <v>zdrapka</v>
      </c>
      <c r="E31" s="65">
        <f t="shared" ca="1" si="4"/>
        <v>40440.922299999998</v>
      </c>
      <c r="F31" s="50"/>
    </row>
    <row r="32" spans="1:7" ht="15">
      <c r="A32" s="49" t="str">
        <f t="shared" ca="1" si="0"/>
        <v>604772032</v>
      </c>
      <c r="B32" s="46">
        <f t="shared" ca="1" si="5"/>
        <v>44.2</v>
      </c>
      <c r="C32" s="47">
        <f t="shared" ca="1" si="6"/>
        <v>1</v>
      </c>
      <c r="D32" s="48" t="str">
        <f t="shared" ca="1" si="3"/>
        <v>internet</v>
      </c>
      <c r="E32" s="65">
        <f t="shared" ca="1" si="4"/>
        <v>40501.749799999998</v>
      </c>
      <c r="F32" s="50"/>
    </row>
    <row r="33" spans="1:6" ht="15">
      <c r="A33" s="49" t="str">
        <f t="shared" ca="1" si="0"/>
        <v>606390367</v>
      </c>
      <c r="B33" s="46">
        <f t="shared" ca="1" si="5"/>
        <v>71.099999999999994</v>
      </c>
      <c r="C33" s="47">
        <f t="shared" ca="1" si="6"/>
        <v>1</v>
      </c>
      <c r="D33" s="48" t="str">
        <f t="shared" ca="1" si="3"/>
        <v>internet</v>
      </c>
      <c r="E33" s="65">
        <f t="shared" ca="1" si="4"/>
        <v>40220.047200000001</v>
      </c>
      <c r="F33" s="50"/>
    </row>
    <row r="34" spans="1:6" ht="15">
      <c r="A34" s="49" t="str">
        <f t="shared" ca="1" si="0"/>
        <v>606211892</v>
      </c>
      <c r="B34" s="46">
        <f t="shared" ca="1" si="5"/>
        <v>41.5</v>
      </c>
      <c r="C34" s="47">
        <f t="shared" ca="1" si="6"/>
        <v>2</v>
      </c>
      <c r="D34" s="48" t="str">
        <f t="shared" ca="1" si="3"/>
        <v>zdrapka</v>
      </c>
      <c r="E34" s="65">
        <f t="shared" ca="1" si="4"/>
        <v>40367.756800000003</v>
      </c>
      <c r="F34" s="50"/>
    </row>
    <row r="35" spans="1:6" ht="15">
      <c r="A35" s="49" t="str">
        <f t="shared" ca="1" si="0"/>
        <v>606555935</v>
      </c>
      <c r="B35" s="46">
        <f t="shared" ca="1" si="5"/>
        <v>19.899999999999999</v>
      </c>
      <c r="C35" s="47">
        <f t="shared" ca="1" si="6"/>
        <v>2</v>
      </c>
      <c r="D35" s="48" t="str">
        <f t="shared" ca="1" si="3"/>
        <v>zdrapka</v>
      </c>
      <c r="E35" s="65">
        <f t="shared" ca="1" si="4"/>
        <v>40388.201300000001</v>
      </c>
      <c r="F35" s="50"/>
    </row>
    <row r="36" spans="1:6" ht="15">
      <c r="A36" s="49" t="str">
        <f t="shared" ca="1" si="0"/>
        <v>608747673</v>
      </c>
      <c r="B36" s="46">
        <f t="shared" ca="1" si="5"/>
        <v>87.1</v>
      </c>
      <c r="C36" s="47">
        <f t="shared" ca="1" si="6"/>
        <v>2</v>
      </c>
      <c r="D36" s="48" t="str">
        <f t="shared" ca="1" si="3"/>
        <v>zdrapka</v>
      </c>
      <c r="E36" s="65">
        <f t="shared" ca="1" si="4"/>
        <v>40354.675199999998</v>
      </c>
      <c r="F36" s="50"/>
    </row>
    <row r="37" spans="1:6" ht="15">
      <c r="A37" s="49" t="str">
        <f t="shared" ca="1" si="0"/>
        <v>606152688</v>
      </c>
      <c r="B37" s="46">
        <f t="shared" ca="1" si="5"/>
        <v>25.9</v>
      </c>
      <c r="C37" s="47">
        <f t="shared" ca="1" si="6"/>
        <v>3</v>
      </c>
      <c r="D37" s="48" t="str">
        <f t="shared" ca="1" si="3"/>
        <v>bankomat</v>
      </c>
      <c r="E37" s="65">
        <f t="shared" ca="1" si="4"/>
        <v>40336.165800000002</v>
      </c>
      <c r="F37" s="50"/>
    </row>
    <row r="38" spans="1:6" ht="15">
      <c r="A38" s="49" t="str">
        <f t="shared" ca="1" si="0"/>
        <v>606444256</v>
      </c>
      <c r="B38" s="46">
        <f t="shared" ca="1" si="5"/>
        <v>201.2</v>
      </c>
      <c r="C38" s="47">
        <f t="shared" ca="1" si="6"/>
        <v>3</v>
      </c>
      <c r="D38" s="48" t="str">
        <f t="shared" ca="1" si="3"/>
        <v>bankomat</v>
      </c>
      <c r="E38" s="65">
        <f t="shared" ca="1" si="4"/>
        <v>40507.1639</v>
      </c>
      <c r="F38" s="50"/>
    </row>
    <row r="39" spans="1:6" ht="15">
      <c r="A39" s="49" t="str">
        <f t="shared" ca="1" si="0"/>
        <v>604396374</v>
      </c>
      <c r="B39" s="46">
        <f t="shared" ca="1" si="5"/>
        <v>63.3</v>
      </c>
      <c r="C39" s="47">
        <f t="shared" ca="1" si="6"/>
        <v>3</v>
      </c>
      <c r="D39" s="48" t="str">
        <f t="shared" ca="1" si="3"/>
        <v>bankomat</v>
      </c>
      <c r="E39" s="65">
        <f t="shared" ca="1" si="4"/>
        <v>40510.623899999999</v>
      </c>
      <c r="F39" s="50"/>
    </row>
    <row r="40" spans="1:6" ht="15">
      <c r="A40" s="49" t="str">
        <f t="shared" ca="1" si="0"/>
        <v>602787958</v>
      </c>
      <c r="B40" s="46">
        <f t="shared" ca="1" si="5"/>
        <v>194.4</v>
      </c>
      <c r="C40" s="47">
        <f t="shared" ca="1" si="6"/>
        <v>2</v>
      </c>
      <c r="D40" s="48" t="str">
        <f t="shared" ca="1" si="3"/>
        <v>zdrapka</v>
      </c>
      <c r="E40" s="65">
        <f t="shared" ca="1" si="4"/>
        <v>40320.104599999999</v>
      </c>
      <c r="F40" s="50"/>
    </row>
    <row r="41" spans="1:6" ht="15">
      <c r="A41" s="49" t="str">
        <f t="shared" ca="1" si="0"/>
        <v>602892081</v>
      </c>
      <c r="B41" s="46">
        <f t="shared" ca="1" si="5"/>
        <v>22</v>
      </c>
      <c r="C41" s="47">
        <f t="shared" ca="1" si="6"/>
        <v>1</v>
      </c>
      <c r="D41" s="48" t="str">
        <f t="shared" ca="1" si="3"/>
        <v>internet</v>
      </c>
      <c r="E41" s="65">
        <f t="shared" ca="1" si="4"/>
        <v>40339.142500000002</v>
      </c>
      <c r="F41" s="50"/>
    </row>
    <row r="42" spans="1:6" ht="15">
      <c r="A42" s="49" t="str">
        <f t="shared" ca="1" si="0"/>
        <v>606561526</v>
      </c>
      <c r="B42" s="46">
        <f t="shared" ca="1" si="5"/>
        <v>52.4</v>
      </c>
      <c r="C42" s="47">
        <f t="shared" ca="1" si="6"/>
        <v>2</v>
      </c>
      <c r="D42" s="48" t="str">
        <f t="shared" ca="1" si="3"/>
        <v>zdrapka</v>
      </c>
      <c r="E42" s="65">
        <f t="shared" ca="1" si="4"/>
        <v>40468.431199999999</v>
      </c>
      <c r="F42" s="50"/>
    </row>
    <row r="43" spans="1:6" ht="15">
      <c r="A43" s="49" t="str">
        <f t="shared" ca="1" si="0"/>
        <v>608244735</v>
      </c>
      <c r="B43" s="46">
        <f t="shared" ca="1" si="5"/>
        <v>163.5</v>
      </c>
      <c r="C43" s="47">
        <f t="shared" ca="1" si="6"/>
        <v>2</v>
      </c>
      <c r="D43" s="48" t="str">
        <f t="shared" ca="1" si="3"/>
        <v>zdrapka</v>
      </c>
      <c r="E43" s="65">
        <f t="shared" ca="1" si="4"/>
        <v>40299.6728</v>
      </c>
      <c r="F43" s="50"/>
    </row>
    <row r="44" spans="1:6" ht="15">
      <c r="A44" s="49" t="str">
        <f t="shared" ca="1" si="0"/>
        <v>602780467</v>
      </c>
      <c r="B44" s="46">
        <f t="shared" ca="1" si="5"/>
        <v>117.7</v>
      </c>
      <c r="C44" s="47">
        <f t="shared" ca="1" si="6"/>
        <v>3</v>
      </c>
      <c r="D44" s="48" t="str">
        <f t="shared" ca="1" si="3"/>
        <v>bankomat</v>
      </c>
      <c r="E44" s="65">
        <f t="shared" ca="1" si="4"/>
        <v>40247.904999999999</v>
      </c>
      <c r="F44" s="50"/>
    </row>
    <row r="45" spans="1:6" ht="15">
      <c r="A45" s="49" t="str">
        <f t="shared" ca="1" si="0"/>
        <v>606518556</v>
      </c>
      <c r="B45" s="46">
        <f t="shared" ca="1" si="5"/>
        <v>95.9</v>
      </c>
      <c r="C45" s="47">
        <f t="shared" ca="1" si="6"/>
        <v>3</v>
      </c>
      <c r="D45" s="48" t="str">
        <f t="shared" ca="1" si="3"/>
        <v>bankomat</v>
      </c>
      <c r="E45" s="65">
        <f t="shared" ca="1" si="4"/>
        <v>40279.474800000004</v>
      </c>
      <c r="F45" s="50"/>
    </row>
    <row r="46" spans="1:6" ht="15">
      <c r="A46" s="49" t="str">
        <f t="shared" ca="1" si="0"/>
        <v>602302097</v>
      </c>
      <c r="B46" s="46">
        <f t="shared" ca="1" si="5"/>
        <v>92.6</v>
      </c>
      <c r="C46" s="47">
        <f t="shared" ca="1" si="6"/>
        <v>3</v>
      </c>
      <c r="D46" s="48" t="str">
        <f t="shared" ca="1" si="3"/>
        <v>bankomat</v>
      </c>
      <c r="E46" s="65">
        <f t="shared" ca="1" si="4"/>
        <v>40439.895499999999</v>
      </c>
      <c r="F46" s="50"/>
    </row>
    <row r="47" spans="1:6" ht="15">
      <c r="A47" s="49" t="str">
        <f t="shared" ca="1" si="0"/>
        <v>606135653</v>
      </c>
      <c r="B47" s="46">
        <f t="shared" ca="1" si="5"/>
        <v>175.3</v>
      </c>
      <c r="C47" s="47">
        <f t="shared" ca="1" si="6"/>
        <v>2</v>
      </c>
      <c r="D47" s="48" t="str">
        <f t="shared" ca="1" si="3"/>
        <v>zdrapka</v>
      </c>
      <c r="E47" s="65">
        <f t="shared" ca="1" si="4"/>
        <v>40328.696000000004</v>
      </c>
      <c r="F47" s="50"/>
    </row>
    <row r="48" spans="1:6" ht="15">
      <c r="A48" s="49" t="str">
        <f t="shared" ca="1" si="0"/>
        <v>604371934</v>
      </c>
      <c r="B48" s="46">
        <f t="shared" ca="1" si="5"/>
        <v>175.6</v>
      </c>
      <c r="C48" s="47">
        <f t="shared" ca="1" si="6"/>
        <v>2</v>
      </c>
      <c r="D48" s="48" t="str">
        <f t="shared" ca="1" si="3"/>
        <v>zdrapka</v>
      </c>
      <c r="E48" s="65">
        <f t="shared" ca="1" si="4"/>
        <v>40508.577499999999</v>
      </c>
      <c r="F48" s="50"/>
    </row>
    <row r="49" spans="1:6" ht="15">
      <c r="A49" s="49" t="str">
        <f t="shared" ca="1" si="0"/>
        <v>602485912</v>
      </c>
      <c r="B49" s="46">
        <f t="shared" ca="1" si="5"/>
        <v>185.2</v>
      </c>
      <c r="C49" s="47">
        <f t="shared" ca="1" si="6"/>
        <v>1</v>
      </c>
      <c r="D49" s="48" t="str">
        <f t="shared" ca="1" si="3"/>
        <v>internet</v>
      </c>
      <c r="E49" s="65">
        <f t="shared" ca="1" si="4"/>
        <v>40337.383300000001</v>
      </c>
      <c r="F49" s="50"/>
    </row>
    <row r="50" spans="1:6" ht="15">
      <c r="A50" s="49" t="str">
        <f t="shared" ca="1" si="0"/>
        <v>604212373</v>
      </c>
      <c r="B50" s="46">
        <f t="shared" ca="1" si="5"/>
        <v>141.30000000000001</v>
      </c>
      <c r="C50" s="47">
        <f t="shared" ca="1" si="6"/>
        <v>2</v>
      </c>
      <c r="D50" s="48" t="str">
        <f t="shared" ca="1" si="3"/>
        <v>zdrapka</v>
      </c>
      <c r="E50" s="65">
        <f t="shared" ca="1" si="4"/>
        <v>40459.533799999997</v>
      </c>
      <c r="F50" s="50"/>
    </row>
    <row r="51" spans="1:6" ht="15.75" thickBot="1">
      <c r="A51" s="51" t="str">
        <f t="shared" ca="1" si="0"/>
        <v>600184443</v>
      </c>
      <c r="B51" s="52">
        <f t="shared" ca="1" si="5"/>
        <v>79</v>
      </c>
      <c r="C51" s="53">
        <f t="shared" ca="1" si="6"/>
        <v>2</v>
      </c>
      <c r="D51" s="54" t="str">
        <f t="shared" ca="1" si="3"/>
        <v>zdrapka</v>
      </c>
      <c r="E51" s="66">
        <f t="shared" ca="1" si="4"/>
        <v>40481.359499999999</v>
      </c>
      <c r="F51" s="55"/>
    </row>
  </sheetData>
  <customSheetViews>
    <customSheetView guid="{F9B480CE-077C-416E-ACF9-56227F746F4A}" hiddenColumns="1">
      <selection activeCell="M31" sqref="M31"/>
      <pageMargins left="0.7" right="0.7" top="0.75" bottom="0.75" header="0.3" footer="0.3"/>
      <pageSetup paperSize="9" orientation="portrait" r:id="rId1"/>
    </customSheetView>
    <customSheetView guid="{3DF5E802-5CA5-43EF-BE6A-D6FCDA5F65F2}" hiddenColumns="1">
      <selection activeCell="M31" sqref="M31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</sheetPr>
  <dimension ref="A1:R51"/>
  <sheetViews>
    <sheetView workbookViewId="0">
      <selection activeCell="D14" sqref="D14"/>
    </sheetView>
  </sheetViews>
  <sheetFormatPr defaultRowHeight="12.75"/>
  <cols>
    <col min="1" max="1" width="11" bestFit="1" customWidth="1"/>
    <col min="2" max="2" width="14.7109375" bestFit="1" customWidth="1"/>
    <col min="3" max="3" width="14.85546875" customWidth="1"/>
    <col min="4" max="4" width="18" bestFit="1" customWidth="1"/>
    <col min="5" max="5" width="26" bestFit="1" customWidth="1"/>
    <col min="6" max="6" width="12.28515625" bestFit="1" customWidth="1"/>
  </cols>
  <sheetData>
    <row r="1" spans="1:18" ht="13.5" thickBot="1">
      <c r="A1" s="63" t="s">
        <v>86</v>
      </c>
      <c r="B1" s="67" t="s">
        <v>94</v>
      </c>
      <c r="C1" s="61" t="s">
        <v>95</v>
      </c>
      <c r="D1" s="61" t="s">
        <v>92</v>
      </c>
      <c r="E1" s="62" t="s">
        <v>96</v>
      </c>
      <c r="Q1">
        <v>1</v>
      </c>
      <c r="R1" t="s">
        <v>89</v>
      </c>
    </row>
    <row r="2" spans="1:18" ht="15" customHeight="1">
      <c r="A2" s="56" t="str">
        <f ca="1">"88"&amp;2*ROUND(RAND()*4,0)&amp;ROUND(RAND()*800000+100000,0)</f>
        <v>882613333</v>
      </c>
      <c r="B2" s="68">
        <f ca="1">IF(RAND()&lt;0.7,20,5)</f>
        <v>5</v>
      </c>
      <c r="C2" s="57">
        <f ca="1">ROUND(RAND()*200+10,1)</f>
        <v>159.69999999999999</v>
      </c>
      <c r="D2" s="64">
        <f ca="1">ROUND(RAND()*365+40179,4)</f>
        <v>40356.483500000002</v>
      </c>
      <c r="E2" s="60"/>
      <c r="F2" s="45"/>
      <c r="Q2">
        <v>2</v>
      </c>
      <c r="R2" t="s">
        <v>90</v>
      </c>
    </row>
    <row r="3" spans="1:18" ht="15" customHeight="1">
      <c r="A3" s="56" t="str">
        <f t="shared" ref="A3:A51" ca="1" si="0">"88"&amp;2*ROUND(RAND()*4,0)&amp;ROUND(RAND()*800000+100000,0)</f>
        <v>884852380</v>
      </c>
      <c r="B3" s="68">
        <f t="shared" ref="B3:B51" ca="1" si="1">IF(RAND()&lt;0.7,20,5)</f>
        <v>20</v>
      </c>
      <c r="C3" s="46">
        <f t="shared" ref="C3:C26" ca="1" si="2">ROUND(RAND()*200+10,1)</f>
        <v>88.2</v>
      </c>
      <c r="D3" s="65">
        <f t="shared" ref="D3:D51" ca="1" si="3">ROUND(RAND()*365+40179,4)</f>
        <v>40507.285799999998</v>
      </c>
      <c r="E3" s="50"/>
      <c r="Q3">
        <v>3</v>
      </c>
      <c r="R3" t="s">
        <v>91</v>
      </c>
    </row>
    <row r="4" spans="1:18" ht="15" customHeight="1">
      <c r="A4" s="56" t="str">
        <f t="shared" ca="1" si="0"/>
        <v>882597831</v>
      </c>
      <c r="B4" s="68">
        <f t="shared" ca="1" si="1"/>
        <v>20</v>
      </c>
      <c r="C4" s="46">
        <f t="shared" ca="1" si="2"/>
        <v>189.5</v>
      </c>
      <c r="D4" s="65">
        <f t="shared" ca="1" si="3"/>
        <v>40423.807800000002</v>
      </c>
      <c r="E4" s="50"/>
    </row>
    <row r="5" spans="1:18" ht="15" customHeight="1">
      <c r="A5" s="56" t="str">
        <f t="shared" ca="1" si="0"/>
        <v>886358250</v>
      </c>
      <c r="B5" s="68">
        <f t="shared" ca="1" si="1"/>
        <v>20</v>
      </c>
      <c r="C5" s="46">
        <f t="shared" ca="1" si="2"/>
        <v>19.899999999999999</v>
      </c>
      <c r="D5" s="65">
        <f t="shared" ca="1" si="3"/>
        <v>40366.3073</v>
      </c>
      <c r="E5" s="50"/>
    </row>
    <row r="6" spans="1:18" ht="15" customHeight="1">
      <c r="A6" s="56" t="str">
        <f t="shared" ca="1" si="0"/>
        <v>880224182</v>
      </c>
      <c r="B6" s="68">
        <f t="shared" ca="1" si="1"/>
        <v>5</v>
      </c>
      <c r="C6" s="46">
        <f t="shared" ca="1" si="2"/>
        <v>203.4</v>
      </c>
      <c r="D6" s="65">
        <f t="shared" ca="1" si="3"/>
        <v>40321.872300000003</v>
      </c>
      <c r="E6" s="50"/>
    </row>
    <row r="7" spans="1:18" ht="15" customHeight="1">
      <c r="A7" s="56" t="str">
        <f t="shared" ca="1" si="0"/>
        <v>882438811</v>
      </c>
      <c r="B7" s="68">
        <f t="shared" ca="1" si="1"/>
        <v>20</v>
      </c>
      <c r="C7" s="46">
        <f t="shared" ca="1" si="2"/>
        <v>129.69999999999999</v>
      </c>
      <c r="D7" s="65">
        <f t="shared" ca="1" si="3"/>
        <v>40473.488499999999</v>
      </c>
      <c r="E7" s="50"/>
    </row>
    <row r="8" spans="1:18" ht="15" customHeight="1">
      <c r="A8" s="56" t="str">
        <f t="shared" ca="1" si="0"/>
        <v>886223312</v>
      </c>
      <c r="B8" s="68">
        <f t="shared" ca="1" si="1"/>
        <v>20</v>
      </c>
      <c r="C8" s="46">
        <f t="shared" ca="1" si="2"/>
        <v>156</v>
      </c>
      <c r="D8" s="65">
        <f t="shared" ca="1" si="3"/>
        <v>40270.477400000003</v>
      </c>
      <c r="E8" s="50"/>
    </row>
    <row r="9" spans="1:18" ht="15" customHeight="1">
      <c r="A9" s="56" t="str">
        <f t="shared" ca="1" si="0"/>
        <v>886155149</v>
      </c>
      <c r="B9" s="68">
        <f t="shared" ca="1" si="1"/>
        <v>20</v>
      </c>
      <c r="C9" s="46">
        <f t="shared" ca="1" si="2"/>
        <v>200.8</v>
      </c>
      <c r="D9" s="65">
        <f t="shared" ca="1" si="3"/>
        <v>40337.810899999997</v>
      </c>
      <c r="E9" s="50"/>
    </row>
    <row r="10" spans="1:18" ht="15" customHeight="1">
      <c r="A10" s="56" t="str">
        <f t="shared" ca="1" si="0"/>
        <v>882810613</v>
      </c>
      <c r="B10" s="68">
        <f t="shared" ca="1" si="1"/>
        <v>5</v>
      </c>
      <c r="C10" s="46">
        <f t="shared" ca="1" si="2"/>
        <v>43.8</v>
      </c>
      <c r="D10" s="65">
        <f t="shared" ca="1" si="3"/>
        <v>40433.243300000002</v>
      </c>
      <c r="E10" s="50"/>
    </row>
    <row r="11" spans="1:18" ht="15" customHeight="1">
      <c r="A11" s="56" t="str">
        <f t="shared" ca="1" si="0"/>
        <v>884830098</v>
      </c>
      <c r="B11" s="68">
        <f t="shared" ca="1" si="1"/>
        <v>20</v>
      </c>
      <c r="C11" s="46">
        <f t="shared" ca="1" si="2"/>
        <v>161</v>
      </c>
      <c r="D11" s="65">
        <f t="shared" ca="1" si="3"/>
        <v>40244.809600000001</v>
      </c>
      <c r="E11" s="50"/>
    </row>
    <row r="12" spans="1:18" ht="15" customHeight="1">
      <c r="A12" s="56" t="str">
        <f t="shared" ca="1" si="0"/>
        <v>886196169</v>
      </c>
      <c r="B12" s="68">
        <f t="shared" ca="1" si="1"/>
        <v>5</v>
      </c>
      <c r="C12" s="46">
        <f t="shared" ca="1" si="2"/>
        <v>48.2</v>
      </c>
      <c r="D12" s="65">
        <f t="shared" ca="1" si="3"/>
        <v>40508.024299999997</v>
      </c>
      <c r="E12" s="50"/>
    </row>
    <row r="13" spans="1:18" ht="15" customHeight="1">
      <c r="A13" s="56" t="str">
        <f t="shared" ca="1" si="0"/>
        <v>884269635</v>
      </c>
      <c r="B13" s="68">
        <f t="shared" ca="1" si="1"/>
        <v>20</v>
      </c>
      <c r="C13" s="46">
        <f t="shared" ca="1" si="2"/>
        <v>40</v>
      </c>
      <c r="D13" s="65">
        <f t="shared" ca="1" si="3"/>
        <v>40482.820500000002</v>
      </c>
      <c r="E13" s="50"/>
    </row>
    <row r="14" spans="1:18" ht="15" customHeight="1">
      <c r="A14" s="56" t="str">
        <f t="shared" ca="1" si="0"/>
        <v>888321850</v>
      </c>
      <c r="B14" s="68">
        <f t="shared" ca="1" si="1"/>
        <v>20</v>
      </c>
      <c r="C14" s="46">
        <f t="shared" ca="1" si="2"/>
        <v>131.1</v>
      </c>
      <c r="D14" s="65">
        <f t="shared" ca="1" si="3"/>
        <v>40432.519399999997</v>
      </c>
      <c r="E14" s="50"/>
    </row>
    <row r="15" spans="1:18" ht="15" customHeight="1">
      <c r="A15" s="56" t="str">
        <f t="shared" ca="1" si="0"/>
        <v>882355240</v>
      </c>
      <c r="B15" s="68">
        <f t="shared" ca="1" si="1"/>
        <v>5</v>
      </c>
      <c r="C15" s="46">
        <f t="shared" ca="1" si="2"/>
        <v>59.4</v>
      </c>
      <c r="D15" s="65">
        <f t="shared" ca="1" si="3"/>
        <v>40344.341399999998</v>
      </c>
      <c r="E15" s="50"/>
    </row>
    <row r="16" spans="1:18" ht="15" customHeight="1">
      <c r="A16" s="56" t="str">
        <f t="shared" ca="1" si="0"/>
        <v>884236919</v>
      </c>
      <c r="B16" s="68">
        <f t="shared" ca="1" si="1"/>
        <v>20</v>
      </c>
      <c r="C16" s="46">
        <f t="shared" ca="1" si="2"/>
        <v>152.30000000000001</v>
      </c>
      <c r="D16" s="65">
        <f t="shared" ca="1" si="3"/>
        <v>40289.510900000001</v>
      </c>
      <c r="E16" s="50"/>
      <c r="F16" s="42"/>
    </row>
    <row r="17" spans="1:6" ht="15" customHeight="1">
      <c r="A17" s="56" t="str">
        <f t="shared" ca="1" si="0"/>
        <v>882235307</v>
      </c>
      <c r="B17" s="68">
        <f t="shared" ca="1" si="1"/>
        <v>20</v>
      </c>
      <c r="C17" s="46">
        <f t="shared" ca="1" si="2"/>
        <v>172.3</v>
      </c>
      <c r="D17" s="65">
        <f t="shared" ca="1" si="3"/>
        <v>40390.856</v>
      </c>
      <c r="E17" s="50"/>
      <c r="F17" s="42"/>
    </row>
    <row r="18" spans="1:6" ht="15" customHeight="1">
      <c r="A18" s="56" t="str">
        <f t="shared" ca="1" si="0"/>
        <v>884226449</v>
      </c>
      <c r="B18" s="68">
        <f t="shared" ca="1" si="1"/>
        <v>20</v>
      </c>
      <c r="C18" s="46">
        <f t="shared" ca="1" si="2"/>
        <v>30.4</v>
      </c>
      <c r="D18" s="65">
        <f t="shared" ca="1" si="3"/>
        <v>40183.152499999997</v>
      </c>
      <c r="E18" s="50"/>
      <c r="F18" s="42"/>
    </row>
    <row r="19" spans="1:6" ht="15" customHeight="1">
      <c r="A19" s="56" t="str">
        <f t="shared" ca="1" si="0"/>
        <v>882438552</v>
      </c>
      <c r="B19" s="68">
        <f t="shared" ca="1" si="1"/>
        <v>5</v>
      </c>
      <c r="C19" s="46">
        <f t="shared" ca="1" si="2"/>
        <v>185.2</v>
      </c>
      <c r="D19" s="65">
        <f t="shared" ca="1" si="3"/>
        <v>40361.285400000001</v>
      </c>
      <c r="E19" s="50"/>
      <c r="F19" s="42"/>
    </row>
    <row r="20" spans="1:6" ht="15" customHeight="1">
      <c r="A20" s="56" t="str">
        <f t="shared" ca="1" si="0"/>
        <v>880146962</v>
      </c>
      <c r="B20" s="68">
        <f t="shared" ca="1" si="1"/>
        <v>20</v>
      </c>
      <c r="C20" s="46">
        <f t="shared" ca="1" si="2"/>
        <v>84.6</v>
      </c>
      <c r="D20" s="65">
        <f t="shared" ca="1" si="3"/>
        <v>40313.809500000003</v>
      </c>
      <c r="E20" s="50"/>
      <c r="F20" s="42"/>
    </row>
    <row r="21" spans="1:6" ht="15" customHeight="1">
      <c r="A21" s="56" t="str">
        <f t="shared" ca="1" si="0"/>
        <v>886634805</v>
      </c>
      <c r="B21" s="68">
        <f t="shared" ca="1" si="1"/>
        <v>5</v>
      </c>
      <c r="C21" s="46">
        <f t="shared" ca="1" si="2"/>
        <v>127.6</v>
      </c>
      <c r="D21" s="65">
        <f t="shared" ca="1" si="3"/>
        <v>40499.126100000001</v>
      </c>
      <c r="E21" s="50"/>
      <c r="F21" s="42"/>
    </row>
    <row r="22" spans="1:6" ht="15" customHeight="1">
      <c r="A22" s="56" t="str">
        <f t="shared" ca="1" si="0"/>
        <v>888523348</v>
      </c>
      <c r="B22" s="68">
        <f t="shared" ca="1" si="1"/>
        <v>20</v>
      </c>
      <c r="C22" s="46">
        <f t="shared" ca="1" si="2"/>
        <v>33.299999999999997</v>
      </c>
      <c r="D22" s="65">
        <f t="shared" ca="1" si="3"/>
        <v>40456.515599999999</v>
      </c>
      <c r="E22" s="50"/>
    </row>
    <row r="23" spans="1:6" ht="15" customHeight="1">
      <c r="A23" s="56" t="str">
        <f t="shared" ca="1" si="0"/>
        <v>884276677</v>
      </c>
      <c r="B23" s="68">
        <f t="shared" ca="1" si="1"/>
        <v>5</v>
      </c>
      <c r="C23" s="46">
        <f t="shared" ca="1" si="2"/>
        <v>167.6</v>
      </c>
      <c r="D23" s="65">
        <f t="shared" ca="1" si="3"/>
        <v>40347.424200000001</v>
      </c>
      <c r="E23" s="50"/>
    </row>
    <row r="24" spans="1:6" ht="15" customHeight="1">
      <c r="A24" s="56" t="str">
        <f t="shared" ca="1" si="0"/>
        <v>884380531</v>
      </c>
      <c r="B24" s="68">
        <f t="shared" ca="1" si="1"/>
        <v>20</v>
      </c>
      <c r="C24" s="46">
        <f t="shared" ca="1" si="2"/>
        <v>184.5</v>
      </c>
      <c r="D24" s="65">
        <f t="shared" ca="1" si="3"/>
        <v>40309.217199999999</v>
      </c>
      <c r="E24" s="50"/>
    </row>
    <row r="25" spans="1:6" ht="15" customHeight="1">
      <c r="A25" s="56" t="str">
        <f t="shared" ca="1" si="0"/>
        <v>880230704</v>
      </c>
      <c r="B25" s="68">
        <f t="shared" ca="1" si="1"/>
        <v>5</v>
      </c>
      <c r="C25" s="46">
        <f t="shared" ca="1" si="2"/>
        <v>111.9</v>
      </c>
      <c r="D25" s="65">
        <f t="shared" ca="1" si="3"/>
        <v>40217.784899999999</v>
      </c>
      <c r="E25" s="50"/>
    </row>
    <row r="26" spans="1:6" ht="15" customHeight="1">
      <c r="A26" s="56" t="str">
        <f t="shared" ca="1" si="0"/>
        <v>882462253</v>
      </c>
      <c r="B26" s="68">
        <f t="shared" ca="1" si="1"/>
        <v>20</v>
      </c>
      <c r="C26" s="46">
        <f t="shared" ca="1" si="2"/>
        <v>46.9</v>
      </c>
      <c r="D26" s="65">
        <f t="shared" ca="1" si="3"/>
        <v>40232.160000000003</v>
      </c>
      <c r="E26" s="50"/>
    </row>
    <row r="27" spans="1:6" ht="15">
      <c r="A27" s="56" t="str">
        <f t="shared" ca="1" si="0"/>
        <v>882112134</v>
      </c>
      <c r="B27" s="68">
        <f t="shared" ca="1" si="1"/>
        <v>20</v>
      </c>
      <c r="C27" s="46">
        <f ca="1">ROUND(RAND()*200+10,1)</f>
        <v>90.9</v>
      </c>
      <c r="D27" s="65">
        <f t="shared" ca="1" si="3"/>
        <v>40407.819799999997</v>
      </c>
      <c r="E27" s="50"/>
    </row>
    <row r="28" spans="1:6" ht="15">
      <c r="A28" s="56" t="str">
        <f t="shared" ca="1" si="0"/>
        <v>884825812</v>
      </c>
      <c r="B28" s="68">
        <f t="shared" ca="1" si="1"/>
        <v>20</v>
      </c>
      <c r="C28" s="46">
        <f t="shared" ref="C28:C51" ca="1" si="4">ROUND(RAND()*200+10,1)</f>
        <v>43.3</v>
      </c>
      <c r="D28" s="65">
        <f t="shared" ca="1" si="3"/>
        <v>40426.271500000003</v>
      </c>
      <c r="E28" s="50"/>
    </row>
    <row r="29" spans="1:6" ht="15">
      <c r="A29" s="56" t="str">
        <f t="shared" ca="1" si="0"/>
        <v>882170131</v>
      </c>
      <c r="B29" s="68">
        <f t="shared" ca="1" si="1"/>
        <v>20</v>
      </c>
      <c r="C29" s="46">
        <f t="shared" ca="1" si="4"/>
        <v>93.5</v>
      </c>
      <c r="D29" s="65">
        <f t="shared" ca="1" si="3"/>
        <v>40182.104399999997</v>
      </c>
      <c r="E29" s="50"/>
    </row>
    <row r="30" spans="1:6" ht="15">
      <c r="A30" s="56" t="str">
        <f t="shared" ca="1" si="0"/>
        <v>884151563</v>
      </c>
      <c r="B30" s="68">
        <f t="shared" ca="1" si="1"/>
        <v>20</v>
      </c>
      <c r="C30" s="46">
        <f t="shared" ca="1" si="4"/>
        <v>209</v>
      </c>
      <c r="D30" s="65">
        <f t="shared" ca="1" si="3"/>
        <v>40392.2978</v>
      </c>
      <c r="E30" s="50"/>
    </row>
    <row r="31" spans="1:6" ht="15">
      <c r="A31" s="56" t="str">
        <f t="shared" ca="1" si="0"/>
        <v>880239166</v>
      </c>
      <c r="B31" s="68">
        <f t="shared" ca="1" si="1"/>
        <v>20</v>
      </c>
      <c r="C31" s="46">
        <f t="shared" ca="1" si="4"/>
        <v>155.9</v>
      </c>
      <c r="D31" s="65">
        <f t="shared" ca="1" si="3"/>
        <v>40427.447099999998</v>
      </c>
      <c r="E31" s="50"/>
    </row>
    <row r="32" spans="1:6" ht="15">
      <c r="A32" s="56" t="str">
        <f t="shared" ca="1" si="0"/>
        <v>882383548</v>
      </c>
      <c r="B32" s="68">
        <f t="shared" ca="1" si="1"/>
        <v>20</v>
      </c>
      <c r="C32" s="46">
        <f t="shared" ca="1" si="4"/>
        <v>144.4</v>
      </c>
      <c r="D32" s="65">
        <f t="shared" ca="1" si="3"/>
        <v>40240.625999999997</v>
      </c>
      <c r="E32" s="50"/>
    </row>
    <row r="33" spans="1:5" ht="15">
      <c r="A33" s="56" t="str">
        <f t="shared" ca="1" si="0"/>
        <v>882562911</v>
      </c>
      <c r="B33" s="68">
        <f t="shared" ca="1" si="1"/>
        <v>5</v>
      </c>
      <c r="C33" s="46">
        <f t="shared" ca="1" si="4"/>
        <v>76.599999999999994</v>
      </c>
      <c r="D33" s="65">
        <f t="shared" ca="1" si="3"/>
        <v>40508.832900000001</v>
      </c>
      <c r="E33" s="50"/>
    </row>
    <row r="34" spans="1:5" ht="15">
      <c r="A34" s="56" t="str">
        <f t="shared" ca="1" si="0"/>
        <v>886695415</v>
      </c>
      <c r="B34" s="68">
        <f t="shared" ca="1" si="1"/>
        <v>5</v>
      </c>
      <c r="C34" s="46">
        <f t="shared" ca="1" si="4"/>
        <v>20.2</v>
      </c>
      <c r="D34" s="65">
        <f t="shared" ca="1" si="3"/>
        <v>40230.954899999997</v>
      </c>
      <c r="E34" s="50"/>
    </row>
    <row r="35" spans="1:5" ht="15">
      <c r="A35" s="56" t="str">
        <f t="shared" ca="1" si="0"/>
        <v>886545028</v>
      </c>
      <c r="B35" s="68">
        <f t="shared" ca="1" si="1"/>
        <v>5</v>
      </c>
      <c r="C35" s="46">
        <f t="shared" ca="1" si="4"/>
        <v>11.5</v>
      </c>
      <c r="D35" s="65">
        <f t="shared" ca="1" si="3"/>
        <v>40466.354299999999</v>
      </c>
      <c r="E35" s="50"/>
    </row>
    <row r="36" spans="1:5" ht="15">
      <c r="A36" s="56" t="str">
        <f t="shared" ca="1" si="0"/>
        <v>880453377</v>
      </c>
      <c r="B36" s="68">
        <f t="shared" ca="1" si="1"/>
        <v>20</v>
      </c>
      <c r="C36" s="46">
        <f t="shared" ca="1" si="4"/>
        <v>151.9</v>
      </c>
      <c r="D36" s="65">
        <f t="shared" ca="1" si="3"/>
        <v>40214.620699999999</v>
      </c>
      <c r="E36" s="50"/>
    </row>
    <row r="37" spans="1:5" ht="15">
      <c r="A37" s="56" t="str">
        <f t="shared" ca="1" si="0"/>
        <v>882305857</v>
      </c>
      <c r="B37" s="68">
        <f t="shared" ca="1" si="1"/>
        <v>20</v>
      </c>
      <c r="C37" s="46">
        <f t="shared" ca="1" si="4"/>
        <v>54.9</v>
      </c>
      <c r="D37" s="65">
        <f t="shared" ca="1" si="3"/>
        <v>40526.453200000004</v>
      </c>
      <c r="E37" s="50"/>
    </row>
    <row r="38" spans="1:5" ht="15">
      <c r="A38" s="56" t="str">
        <f t="shared" ca="1" si="0"/>
        <v>886476612</v>
      </c>
      <c r="B38" s="68">
        <f t="shared" ca="1" si="1"/>
        <v>20</v>
      </c>
      <c r="C38" s="46">
        <f t="shared" ca="1" si="4"/>
        <v>82.7</v>
      </c>
      <c r="D38" s="65">
        <f t="shared" ca="1" si="3"/>
        <v>40477.7045</v>
      </c>
      <c r="E38" s="50"/>
    </row>
    <row r="39" spans="1:5" ht="15">
      <c r="A39" s="56" t="str">
        <f t="shared" ca="1" si="0"/>
        <v>886616307</v>
      </c>
      <c r="B39" s="68">
        <f t="shared" ca="1" si="1"/>
        <v>20</v>
      </c>
      <c r="C39" s="46">
        <f t="shared" ca="1" si="4"/>
        <v>96.7</v>
      </c>
      <c r="D39" s="65">
        <f t="shared" ca="1" si="3"/>
        <v>40462.6567</v>
      </c>
      <c r="E39" s="50"/>
    </row>
    <row r="40" spans="1:5" ht="15">
      <c r="A40" s="56" t="str">
        <f t="shared" ca="1" si="0"/>
        <v>882524998</v>
      </c>
      <c r="B40" s="68">
        <f t="shared" ca="1" si="1"/>
        <v>5</v>
      </c>
      <c r="C40" s="46">
        <f t="shared" ca="1" si="4"/>
        <v>19.7</v>
      </c>
      <c r="D40" s="65">
        <f t="shared" ca="1" si="3"/>
        <v>40410.842499999999</v>
      </c>
      <c r="E40" s="50"/>
    </row>
    <row r="41" spans="1:5" ht="15">
      <c r="A41" s="56" t="str">
        <f t="shared" ca="1" si="0"/>
        <v>886257059</v>
      </c>
      <c r="B41" s="68">
        <f t="shared" ca="1" si="1"/>
        <v>5</v>
      </c>
      <c r="C41" s="46">
        <f t="shared" ca="1" si="4"/>
        <v>136.1</v>
      </c>
      <c r="D41" s="65">
        <f t="shared" ca="1" si="3"/>
        <v>40388.136599999998</v>
      </c>
      <c r="E41" s="50"/>
    </row>
    <row r="42" spans="1:5" ht="15">
      <c r="A42" s="56" t="str">
        <f t="shared" ca="1" si="0"/>
        <v>886830587</v>
      </c>
      <c r="B42" s="68">
        <f t="shared" ca="1" si="1"/>
        <v>20</v>
      </c>
      <c r="C42" s="46">
        <f t="shared" ca="1" si="4"/>
        <v>193.6</v>
      </c>
      <c r="D42" s="65">
        <f t="shared" ca="1" si="3"/>
        <v>40488.428699999997</v>
      </c>
      <c r="E42" s="50"/>
    </row>
    <row r="43" spans="1:5" ht="15">
      <c r="A43" s="56" t="str">
        <f t="shared" ca="1" si="0"/>
        <v>888534219</v>
      </c>
      <c r="B43" s="68">
        <f t="shared" ca="1" si="1"/>
        <v>20</v>
      </c>
      <c r="C43" s="46">
        <f t="shared" ca="1" si="4"/>
        <v>87.1</v>
      </c>
      <c r="D43" s="65">
        <f t="shared" ca="1" si="3"/>
        <v>40316.193599999999</v>
      </c>
      <c r="E43" s="50"/>
    </row>
    <row r="44" spans="1:5" ht="15">
      <c r="A44" s="56" t="str">
        <f t="shared" ca="1" si="0"/>
        <v>880241905</v>
      </c>
      <c r="B44" s="68">
        <f t="shared" ca="1" si="1"/>
        <v>5</v>
      </c>
      <c r="C44" s="46">
        <f t="shared" ca="1" si="4"/>
        <v>124.5</v>
      </c>
      <c r="D44" s="65">
        <f t="shared" ca="1" si="3"/>
        <v>40182.010300000002</v>
      </c>
      <c r="E44" s="50"/>
    </row>
    <row r="45" spans="1:5" ht="15">
      <c r="A45" s="56" t="str">
        <f t="shared" ca="1" si="0"/>
        <v>888467927</v>
      </c>
      <c r="B45" s="68">
        <f t="shared" ca="1" si="1"/>
        <v>5</v>
      </c>
      <c r="C45" s="46">
        <f t="shared" ca="1" si="4"/>
        <v>165.7</v>
      </c>
      <c r="D45" s="65">
        <f t="shared" ca="1" si="3"/>
        <v>40469.718000000001</v>
      </c>
      <c r="E45" s="50"/>
    </row>
    <row r="46" spans="1:5" ht="15">
      <c r="A46" s="56" t="str">
        <f t="shared" ca="1" si="0"/>
        <v>888628101</v>
      </c>
      <c r="B46" s="68">
        <f t="shared" ca="1" si="1"/>
        <v>20</v>
      </c>
      <c r="C46" s="46">
        <f t="shared" ca="1" si="4"/>
        <v>47.2</v>
      </c>
      <c r="D46" s="65">
        <f t="shared" ca="1" si="3"/>
        <v>40236.510399999999</v>
      </c>
      <c r="E46" s="50"/>
    </row>
    <row r="47" spans="1:5" ht="15">
      <c r="A47" s="56" t="str">
        <f t="shared" ca="1" si="0"/>
        <v>884250352</v>
      </c>
      <c r="B47" s="68">
        <f t="shared" ca="1" si="1"/>
        <v>20</v>
      </c>
      <c r="C47" s="46">
        <f t="shared" ca="1" si="4"/>
        <v>190.4</v>
      </c>
      <c r="D47" s="65">
        <f t="shared" ca="1" si="3"/>
        <v>40207.951800000003</v>
      </c>
      <c r="E47" s="50"/>
    </row>
    <row r="48" spans="1:5" ht="15">
      <c r="A48" s="56" t="str">
        <f t="shared" ca="1" si="0"/>
        <v>888698851</v>
      </c>
      <c r="B48" s="68">
        <f t="shared" ca="1" si="1"/>
        <v>5</v>
      </c>
      <c r="C48" s="46">
        <f t="shared" ca="1" si="4"/>
        <v>134.69999999999999</v>
      </c>
      <c r="D48" s="65">
        <f t="shared" ca="1" si="3"/>
        <v>40354.811699999998</v>
      </c>
      <c r="E48" s="50"/>
    </row>
    <row r="49" spans="1:5" ht="15">
      <c r="A49" s="56" t="str">
        <f t="shared" ca="1" si="0"/>
        <v>884892450</v>
      </c>
      <c r="B49" s="68">
        <f t="shared" ca="1" si="1"/>
        <v>20</v>
      </c>
      <c r="C49" s="46">
        <f t="shared" ca="1" si="4"/>
        <v>143.9</v>
      </c>
      <c r="D49" s="65">
        <f t="shared" ca="1" si="3"/>
        <v>40444.367700000003</v>
      </c>
      <c r="E49" s="50"/>
    </row>
    <row r="50" spans="1:5" ht="15">
      <c r="A50" s="56" t="str">
        <f t="shared" ca="1" si="0"/>
        <v>880554125</v>
      </c>
      <c r="B50" s="68">
        <f t="shared" ca="1" si="1"/>
        <v>20</v>
      </c>
      <c r="C50" s="46">
        <f t="shared" ca="1" si="4"/>
        <v>32.299999999999997</v>
      </c>
      <c r="D50" s="65">
        <f t="shared" ca="1" si="3"/>
        <v>40518.8488</v>
      </c>
      <c r="E50" s="50"/>
    </row>
    <row r="51" spans="1:5" ht="15.75" thickBot="1">
      <c r="A51" s="56" t="str">
        <f t="shared" ca="1" si="0"/>
        <v>888143324</v>
      </c>
      <c r="B51" s="68">
        <f t="shared" ca="1" si="1"/>
        <v>20</v>
      </c>
      <c r="C51" s="52">
        <f t="shared" ca="1" si="4"/>
        <v>75.3</v>
      </c>
      <c r="D51" s="66">
        <f t="shared" ca="1" si="3"/>
        <v>40383.7088</v>
      </c>
      <c r="E51" s="55"/>
    </row>
  </sheetData>
  <customSheetViews>
    <customSheetView guid="{F9B480CE-077C-416E-ACF9-56227F746F4A}">
      <selection activeCell="D14" sqref="D14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D14" sqref="D14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00"/>
  </sheetPr>
  <dimension ref="E5:I43"/>
  <sheetViews>
    <sheetView topLeftCell="A79" workbookViewId="0">
      <selection activeCell="K11" sqref="K11"/>
    </sheetView>
  </sheetViews>
  <sheetFormatPr defaultRowHeight="12.75"/>
  <cols>
    <col min="1" max="4" width="9.140625" style="2"/>
    <col min="5" max="5" width="11" style="2" bestFit="1" customWidth="1"/>
    <col min="6" max="6" width="13.5703125" style="2" bestFit="1" customWidth="1"/>
    <col min="7" max="7" width="12.5703125" style="2" bestFit="1" customWidth="1"/>
    <col min="8" max="8" width="16.5703125" style="2" bestFit="1" customWidth="1"/>
    <col min="9" max="9" width="15.140625" style="2" customWidth="1"/>
    <col min="10" max="16384" width="9.140625" style="2"/>
  </cols>
  <sheetData>
    <row r="5" spans="8:9" ht="18">
      <c r="H5" s="133" t="s">
        <v>12</v>
      </c>
      <c r="I5" s="133"/>
    </row>
    <row r="6" spans="8:9" ht="18">
      <c r="H6" s="12">
        <f ca="1">ROUND(RAND()*1000+500,0)</f>
        <v>1146</v>
      </c>
      <c r="I6" s="11" t="s">
        <v>13</v>
      </c>
    </row>
    <row r="17" spans="5:9">
      <c r="I17" s="95"/>
    </row>
    <row r="18" spans="5:9" ht="13.5" thickBot="1"/>
    <row r="19" spans="5:9" ht="13.5" thickBot="1">
      <c r="E19" s="107" t="s">
        <v>14</v>
      </c>
      <c r="F19" s="132" t="s">
        <v>277</v>
      </c>
      <c r="G19" s="108" t="s">
        <v>15</v>
      </c>
      <c r="H19" s="109" t="s">
        <v>217</v>
      </c>
    </row>
    <row r="20" spans="5:9">
      <c r="E20" s="104">
        <v>1023652135</v>
      </c>
      <c r="F20" s="105">
        <f ca="1">ROUND(RAND()*16+3,0)</f>
        <v>9</v>
      </c>
      <c r="G20" s="106"/>
      <c r="H20" s="110"/>
    </row>
    <row r="21" spans="5:9">
      <c r="E21" s="99">
        <f>E20+13</f>
        <v>1023652148</v>
      </c>
      <c r="F21" s="10">
        <f t="shared" ref="F21:F43" ca="1" si="0">ROUND(RAND()*16+3,0)</f>
        <v>12</v>
      </c>
      <c r="G21" s="102"/>
      <c r="H21" s="111"/>
    </row>
    <row r="22" spans="5:9">
      <c r="E22" s="99">
        <v>1023652136</v>
      </c>
      <c r="F22" s="10">
        <f t="shared" ca="1" si="0"/>
        <v>13</v>
      </c>
      <c r="G22" s="102"/>
      <c r="H22" s="111"/>
    </row>
    <row r="23" spans="5:9">
      <c r="E23" s="99">
        <f>E22+13</f>
        <v>1023652149</v>
      </c>
      <c r="F23" s="10">
        <f t="shared" ca="1" si="0"/>
        <v>17</v>
      </c>
      <c r="G23" s="102"/>
      <c r="H23" s="111"/>
    </row>
    <row r="24" spans="5:9">
      <c r="E24" s="99">
        <v>1023652137</v>
      </c>
      <c r="F24" s="10">
        <f t="shared" ca="1" si="0"/>
        <v>5</v>
      </c>
      <c r="G24" s="102"/>
      <c r="H24" s="111"/>
    </row>
    <row r="25" spans="5:9">
      <c r="E25" s="99">
        <f>E24+13</f>
        <v>1023652150</v>
      </c>
      <c r="F25" s="10">
        <f t="shared" ca="1" si="0"/>
        <v>4</v>
      </c>
      <c r="G25" s="102"/>
      <c r="H25" s="111"/>
    </row>
    <row r="26" spans="5:9">
      <c r="E26" s="99">
        <v>1023652138</v>
      </c>
      <c r="F26" s="10">
        <f t="shared" ca="1" si="0"/>
        <v>7</v>
      </c>
      <c r="G26" s="102"/>
      <c r="H26" s="111"/>
    </row>
    <row r="27" spans="5:9">
      <c r="E27" s="99">
        <f>E26+13</f>
        <v>1023652151</v>
      </c>
      <c r="F27" s="10">
        <f t="shared" ca="1" si="0"/>
        <v>9</v>
      </c>
      <c r="G27" s="102"/>
      <c r="H27" s="111"/>
    </row>
    <row r="28" spans="5:9">
      <c r="E28" s="99">
        <v>1023652139</v>
      </c>
      <c r="F28" s="10">
        <f t="shared" ca="1" si="0"/>
        <v>4</v>
      </c>
      <c r="G28" s="102"/>
      <c r="H28" s="111"/>
    </row>
    <row r="29" spans="5:9">
      <c r="E29" s="99">
        <f>E28+13</f>
        <v>1023652152</v>
      </c>
      <c r="F29" s="10">
        <f t="shared" ca="1" si="0"/>
        <v>6</v>
      </c>
      <c r="G29" s="102"/>
      <c r="H29" s="111"/>
    </row>
    <row r="30" spans="5:9">
      <c r="E30" s="99">
        <v>1023652140</v>
      </c>
      <c r="F30" s="10">
        <f t="shared" ca="1" si="0"/>
        <v>6</v>
      </c>
      <c r="G30" s="102"/>
      <c r="H30" s="111"/>
    </row>
    <row r="31" spans="5:9">
      <c r="E31" s="99">
        <f>E30+13</f>
        <v>1023652153</v>
      </c>
      <c r="F31" s="10">
        <f t="shared" ca="1" si="0"/>
        <v>7</v>
      </c>
      <c r="G31" s="102"/>
      <c r="H31" s="111"/>
    </row>
    <row r="32" spans="5:9">
      <c r="E32" s="99">
        <v>1023652141</v>
      </c>
      <c r="F32" s="10">
        <f t="shared" ca="1" si="0"/>
        <v>6</v>
      </c>
      <c r="G32" s="102"/>
      <c r="H32" s="111"/>
    </row>
    <row r="33" spans="5:8">
      <c r="E33" s="99">
        <f>E32+13</f>
        <v>1023652154</v>
      </c>
      <c r="F33" s="10">
        <f t="shared" ca="1" si="0"/>
        <v>7</v>
      </c>
      <c r="G33" s="102"/>
      <c r="H33" s="111"/>
    </row>
    <row r="34" spans="5:8">
      <c r="E34" s="99">
        <v>1023652142</v>
      </c>
      <c r="F34" s="10">
        <f t="shared" ca="1" si="0"/>
        <v>14</v>
      </c>
      <c r="G34" s="102"/>
      <c r="H34" s="111"/>
    </row>
    <row r="35" spans="5:8">
      <c r="E35" s="99">
        <f>E34+13</f>
        <v>1023652155</v>
      </c>
      <c r="F35" s="10">
        <f t="shared" ca="1" si="0"/>
        <v>3</v>
      </c>
      <c r="G35" s="102"/>
      <c r="H35" s="111"/>
    </row>
    <row r="36" spans="5:8">
      <c r="E36" s="99">
        <v>1023652143</v>
      </c>
      <c r="F36" s="10">
        <f t="shared" ca="1" si="0"/>
        <v>14</v>
      </c>
      <c r="G36" s="102"/>
      <c r="H36" s="111"/>
    </row>
    <row r="37" spans="5:8">
      <c r="E37" s="99">
        <f>E36+13</f>
        <v>1023652156</v>
      </c>
      <c r="F37" s="10">
        <f t="shared" ca="1" si="0"/>
        <v>8</v>
      </c>
      <c r="G37" s="102"/>
      <c r="H37" s="111"/>
    </row>
    <row r="38" spans="5:8">
      <c r="E38" s="99">
        <v>1023652144</v>
      </c>
      <c r="F38" s="10">
        <f t="shared" ca="1" si="0"/>
        <v>10</v>
      </c>
      <c r="G38" s="102"/>
      <c r="H38" s="111"/>
    </row>
    <row r="39" spans="5:8">
      <c r="E39" s="99">
        <f>E38+13</f>
        <v>1023652157</v>
      </c>
      <c r="F39" s="10">
        <f t="shared" ca="1" si="0"/>
        <v>4</v>
      </c>
      <c r="G39" s="102"/>
      <c r="H39" s="111"/>
    </row>
    <row r="40" spans="5:8">
      <c r="E40" s="99">
        <v>1023652145</v>
      </c>
      <c r="F40" s="10">
        <f t="shared" ca="1" si="0"/>
        <v>3</v>
      </c>
      <c r="G40" s="102"/>
      <c r="H40" s="111"/>
    </row>
    <row r="41" spans="5:8">
      <c r="E41" s="99">
        <f>E40+13</f>
        <v>1023652158</v>
      </c>
      <c r="F41" s="10">
        <f t="shared" ca="1" si="0"/>
        <v>16</v>
      </c>
      <c r="G41" s="102"/>
      <c r="H41" s="111"/>
    </row>
    <row r="42" spans="5:8">
      <c r="E42" s="99">
        <v>1023652146</v>
      </c>
      <c r="F42" s="10">
        <f t="shared" ca="1" si="0"/>
        <v>13</v>
      </c>
      <c r="G42" s="102"/>
      <c r="H42" s="111"/>
    </row>
    <row r="43" spans="5:8" ht="13.5" thickBot="1">
      <c r="E43" s="100">
        <f>E42+13</f>
        <v>1023652159</v>
      </c>
      <c r="F43" s="101">
        <f t="shared" ca="1" si="0"/>
        <v>8</v>
      </c>
      <c r="G43" s="103"/>
      <c r="H43" s="112"/>
    </row>
  </sheetData>
  <customSheetViews>
    <customSheetView guid="{F9B480CE-077C-416E-ACF9-56227F746F4A}">
      <selection activeCell="K11" sqref="K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K11" sqref="K11"/>
      <pageMargins left="0.75" right="0.75" top="1" bottom="1" header="0.5" footer="0.5"/>
      <pageSetup paperSize="9" orientation="portrait" r:id="rId2"/>
      <headerFooter alignWithMargins="0"/>
    </customSheetView>
  </customSheetViews>
  <mergeCells count="1">
    <mergeCell ref="H5:I5"/>
  </mergeCells>
  <pageMargins left="0.75" right="0.75" top="1" bottom="1" header="0.5" footer="0.5"/>
  <pageSetup paperSize="9" orientation="portrait" r:id="rId3"/>
  <headerFooter alignWithMargins="0"/>
  <ignoredErrors>
    <ignoredError sqref="H6 F20:F43" unlockedFormula="1"/>
  </ignoredError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22" workbookViewId="0">
      <selection activeCell="G24" sqref="G24"/>
    </sheetView>
  </sheetViews>
  <sheetFormatPr defaultRowHeight="12.75"/>
  <cols>
    <col min="1" max="1" width="11.140625" style="25" hidden="1" customWidth="1"/>
    <col min="2" max="2" width="20.42578125" style="25" bestFit="1" customWidth="1"/>
    <col min="3" max="11" width="9.140625" style="25"/>
    <col min="12" max="13" width="9.140625" style="25" hidden="1" customWidth="1"/>
    <col min="14" max="16384" width="9.140625" style="25"/>
  </cols>
  <sheetData>
    <row r="1" spans="1:13" ht="13.5" thickBot="1">
      <c r="B1" s="31" t="s">
        <v>69</v>
      </c>
      <c r="C1" s="32" t="s">
        <v>138</v>
      </c>
    </row>
    <row r="2" spans="1:13">
      <c r="A2" s="25">
        <f ca="1">ROUND(RAND()*19+1,0)</f>
        <v>11</v>
      </c>
      <c r="B2" s="37" t="str">
        <f ca="1">VLOOKUP(A2,$L$2:$M$41,2)</f>
        <v>Gdynia</v>
      </c>
      <c r="C2" s="33"/>
      <c r="L2" s="25">
        <v>1</v>
      </c>
      <c r="M2" s="37" t="s">
        <v>71</v>
      </c>
    </row>
    <row r="3" spans="1:13">
      <c r="A3" s="25">
        <f ca="1">A2+1</f>
        <v>12</v>
      </c>
      <c r="B3" s="37" t="str">
        <f ca="1">VLOOKUP(A3,$L$2:$M$41,2)</f>
        <v>Wrocław</v>
      </c>
      <c r="C3" s="34"/>
      <c r="L3" s="25">
        <v>2</v>
      </c>
      <c r="M3" s="37" t="s">
        <v>72</v>
      </c>
    </row>
    <row r="4" spans="1:13">
      <c r="A4" s="25">
        <f t="shared" ref="A4:A21" ca="1" si="0">A3+1</f>
        <v>13</v>
      </c>
      <c r="B4" s="37" t="str">
        <f t="shared" ref="B4:B21" ca="1" si="1">VLOOKUP(A4,$L$2:$M$41,2)</f>
        <v>Zielona Góra</v>
      </c>
      <c r="C4" s="34"/>
      <c r="L4" s="25">
        <v>3</v>
      </c>
      <c r="M4" s="37" t="s">
        <v>73</v>
      </c>
    </row>
    <row r="5" spans="1:13">
      <c r="A5" s="25">
        <f t="shared" ca="1" si="0"/>
        <v>14</v>
      </c>
      <c r="B5" s="37" t="str">
        <f t="shared" ca="1" si="1"/>
        <v>Olsztyn</v>
      </c>
      <c r="C5" s="34"/>
      <c r="L5" s="25">
        <v>4</v>
      </c>
      <c r="M5" s="37" t="s">
        <v>74</v>
      </c>
    </row>
    <row r="6" spans="1:13">
      <c r="A6" s="25">
        <f t="shared" ca="1" si="0"/>
        <v>15</v>
      </c>
      <c r="B6" s="37" t="str">
        <f t="shared" ca="1" si="1"/>
        <v>Tomaszów Mazowiecki</v>
      </c>
      <c r="C6" s="34"/>
      <c r="L6" s="25">
        <v>5</v>
      </c>
      <c r="M6" s="37" t="s">
        <v>75</v>
      </c>
    </row>
    <row r="7" spans="1:13">
      <c r="A7" s="25">
        <f t="shared" ca="1" si="0"/>
        <v>16</v>
      </c>
      <c r="B7" s="37" t="str">
        <f t="shared" ca="1" si="1"/>
        <v>Częstochowa</v>
      </c>
      <c r="C7" s="34"/>
      <c r="L7" s="25">
        <v>6</v>
      </c>
      <c r="M7" s="37" t="s">
        <v>76</v>
      </c>
    </row>
    <row r="8" spans="1:13">
      <c r="A8" s="25">
        <f t="shared" ca="1" si="0"/>
        <v>17</v>
      </c>
      <c r="B8" s="37" t="str">
        <f t="shared" ca="1" si="1"/>
        <v>Zamość</v>
      </c>
      <c r="C8" s="34"/>
      <c r="L8" s="25">
        <v>7</v>
      </c>
      <c r="M8" s="37" t="s">
        <v>114</v>
      </c>
    </row>
    <row r="9" spans="1:13">
      <c r="A9" s="25">
        <f t="shared" ca="1" si="0"/>
        <v>18</v>
      </c>
      <c r="B9" s="37" t="str">
        <f t="shared" ca="1" si="1"/>
        <v>Białystok</v>
      </c>
      <c r="C9" s="34"/>
      <c r="L9" s="25">
        <v>8</v>
      </c>
      <c r="M9" s="37" t="s">
        <v>115</v>
      </c>
    </row>
    <row r="10" spans="1:13">
      <c r="A10" s="25">
        <f t="shared" ca="1" si="0"/>
        <v>19</v>
      </c>
      <c r="B10" s="37" t="str">
        <f t="shared" ca="1" si="1"/>
        <v>Sopot</v>
      </c>
      <c r="C10" s="34"/>
      <c r="L10" s="25">
        <v>9</v>
      </c>
      <c r="M10" s="37" t="s">
        <v>116</v>
      </c>
    </row>
    <row r="11" spans="1:13">
      <c r="A11" s="25">
        <f t="shared" ca="1" si="0"/>
        <v>20</v>
      </c>
      <c r="B11" s="37" t="str">
        <f t="shared" ca="1" si="1"/>
        <v>Zakopane</v>
      </c>
      <c r="C11" s="34"/>
      <c r="L11" s="25">
        <v>10</v>
      </c>
      <c r="M11" s="37" t="s">
        <v>117</v>
      </c>
    </row>
    <row r="12" spans="1:13">
      <c r="A12" s="25">
        <f t="shared" ca="1" si="0"/>
        <v>21</v>
      </c>
      <c r="B12" s="37" t="str">
        <f t="shared" ca="1" si="1"/>
        <v>Łódź</v>
      </c>
      <c r="C12" s="34"/>
      <c r="L12" s="25">
        <v>11</v>
      </c>
      <c r="M12" s="37" t="s">
        <v>118</v>
      </c>
    </row>
    <row r="13" spans="1:13">
      <c r="A13" s="25">
        <f t="shared" ca="1" si="0"/>
        <v>22</v>
      </c>
      <c r="B13" s="37" t="str">
        <f t="shared" ca="1" si="1"/>
        <v>Warszawa</v>
      </c>
      <c r="C13" s="34"/>
      <c r="L13" s="25">
        <v>12</v>
      </c>
      <c r="M13" s="37" t="s">
        <v>119</v>
      </c>
    </row>
    <row r="14" spans="1:13">
      <c r="A14" s="25">
        <f t="shared" ca="1" si="0"/>
        <v>23</v>
      </c>
      <c r="B14" s="37" t="str">
        <f t="shared" ca="1" si="1"/>
        <v>Poznań</v>
      </c>
      <c r="C14" s="34"/>
      <c r="L14" s="25">
        <v>13</v>
      </c>
      <c r="M14" s="37" t="s">
        <v>120</v>
      </c>
    </row>
    <row r="15" spans="1:13">
      <c r="A15" s="25">
        <f t="shared" ca="1" si="0"/>
        <v>24</v>
      </c>
      <c r="B15" s="37" t="str">
        <f t="shared" ca="1" si="1"/>
        <v>Kraków</v>
      </c>
      <c r="C15" s="34"/>
      <c r="L15" s="25">
        <v>14</v>
      </c>
      <c r="M15" s="37" t="s">
        <v>121</v>
      </c>
    </row>
    <row r="16" spans="1:13">
      <c r="A16" s="25">
        <f t="shared" ca="1" si="0"/>
        <v>25</v>
      </c>
      <c r="B16" s="37" t="str">
        <f t="shared" ca="1" si="1"/>
        <v>Szczecin</v>
      </c>
      <c r="C16" s="34"/>
      <c r="L16" s="25">
        <v>15</v>
      </c>
      <c r="M16" s="37" t="s">
        <v>122</v>
      </c>
    </row>
    <row r="17" spans="1:13">
      <c r="A17" s="25">
        <f t="shared" ca="1" si="0"/>
        <v>26</v>
      </c>
      <c r="B17" s="37" t="str">
        <f t="shared" ca="1" si="1"/>
        <v>Gdańsk</v>
      </c>
      <c r="C17" s="34"/>
      <c r="L17" s="25">
        <v>16</v>
      </c>
      <c r="M17" s="37" t="s">
        <v>123</v>
      </c>
    </row>
    <row r="18" spans="1:13">
      <c r="A18" s="25">
        <f t="shared" ca="1" si="0"/>
        <v>27</v>
      </c>
      <c r="B18" s="37" t="str">
        <f t="shared" ca="1" si="1"/>
        <v>Jaworzno</v>
      </c>
      <c r="C18" s="34"/>
      <c r="L18" s="25">
        <v>17</v>
      </c>
      <c r="M18" s="37" t="s">
        <v>124</v>
      </c>
    </row>
    <row r="19" spans="1:13">
      <c r="A19" s="25">
        <f t="shared" ca="1" si="0"/>
        <v>28</v>
      </c>
      <c r="B19" s="37" t="str">
        <f t="shared" ca="1" si="1"/>
        <v>Katowice</v>
      </c>
      <c r="C19" s="34"/>
      <c r="L19" s="25">
        <v>18</v>
      </c>
      <c r="M19" s="37" t="s">
        <v>125</v>
      </c>
    </row>
    <row r="20" spans="1:13">
      <c r="A20" s="25">
        <f t="shared" ca="1" si="0"/>
        <v>29</v>
      </c>
      <c r="B20" s="37" t="str">
        <f t="shared" ca="1" si="1"/>
        <v>Radom</v>
      </c>
      <c r="C20" s="34"/>
      <c r="L20" s="25">
        <v>19</v>
      </c>
      <c r="M20" s="37" t="s">
        <v>126</v>
      </c>
    </row>
    <row r="21" spans="1:13">
      <c r="A21" s="25">
        <f t="shared" ca="1" si="0"/>
        <v>30</v>
      </c>
      <c r="B21" s="37" t="str">
        <f t="shared" ca="1" si="1"/>
        <v>Kielce</v>
      </c>
      <c r="C21" s="34"/>
      <c r="L21" s="25">
        <v>20</v>
      </c>
      <c r="M21" s="37" t="s">
        <v>127</v>
      </c>
    </row>
    <row r="22" spans="1:13">
      <c r="B22" s="36"/>
      <c r="L22" s="25">
        <v>21</v>
      </c>
      <c r="M22" s="37" t="s">
        <v>71</v>
      </c>
    </row>
    <row r="23" spans="1:13"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L29" s="25">
        <v>28</v>
      </c>
      <c r="M29" s="37" t="s">
        <v>115</v>
      </c>
    </row>
    <row r="30" spans="1:13"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F9B480CE-077C-416E-ACF9-56227F746F4A}" hiddenColumns="1" topLeftCell="B1">
      <selection activeCell="G24" sqref="G24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G24" sqref="G24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1" workbookViewId="0">
      <selection activeCell="H30" sqref="H30"/>
    </sheetView>
  </sheetViews>
  <sheetFormatPr defaultRowHeight="12.75"/>
  <cols>
    <col min="1" max="1" width="11.140625" style="25" hidden="1" customWidth="1"/>
    <col min="2" max="2" width="20.42578125" style="25" bestFit="1" customWidth="1"/>
    <col min="3" max="11" width="9.140625" style="25"/>
    <col min="12" max="12" width="9.5703125" style="25" hidden="1" customWidth="1"/>
    <col min="13" max="13" width="13.42578125" style="25" hidden="1" customWidth="1"/>
    <col min="14" max="16384" width="9.140625" style="25"/>
  </cols>
  <sheetData>
    <row r="1" spans="1:13" ht="13.5" thickBot="1">
      <c r="B1" s="31" t="s">
        <v>278</v>
      </c>
      <c r="C1" s="32" t="s">
        <v>70</v>
      </c>
    </row>
    <row r="2" spans="1:13">
      <c r="A2" s="25">
        <f ca="1">ROUND(RAND()*19+1,0)</f>
        <v>7</v>
      </c>
      <c r="B2" s="37" t="str">
        <f ca="1">VLOOKUP(A2,$L$2:$M$41,2)</f>
        <v>niedziela</v>
      </c>
      <c r="C2" s="33"/>
      <c r="L2" s="25">
        <v>1</v>
      </c>
      <c r="M2" s="37" t="s">
        <v>128</v>
      </c>
    </row>
    <row r="3" spans="1:13">
      <c r="A3" s="25">
        <f ca="1">A2+1</f>
        <v>8</v>
      </c>
      <c r="B3" s="37" t="str">
        <f ca="1">VLOOKUP(A3,$L$2:$M$41,2)</f>
        <v>poniedziałek</v>
      </c>
      <c r="C3" s="34"/>
      <c r="L3" s="25">
        <v>2</v>
      </c>
      <c r="M3" s="37" t="s">
        <v>129</v>
      </c>
    </row>
    <row r="4" spans="1:13">
      <c r="A4" s="25">
        <f t="shared" ref="A4:A21" ca="1" si="0">A3+1</f>
        <v>9</v>
      </c>
      <c r="B4" s="37" t="str">
        <f t="shared" ref="B4:B21" ca="1" si="1">VLOOKUP(A4,$L$2:$M$41,2)</f>
        <v>wtorek</v>
      </c>
      <c r="C4" s="34"/>
      <c r="L4" s="25">
        <v>3</v>
      </c>
      <c r="M4" s="37" t="s">
        <v>79</v>
      </c>
    </row>
    <row r="5" spans="1:13">
      <c r="A5" s="25">
        <f t="shared" ca="1" si="0"/>
        <v>10</v>
      </c>
      <c r="B5" s="37" t="str">
        <f t="shared" ca="1" si="1"/>
        <v>środa</v>
      </c>
      <c r="C5" s="34"/>
      <c r="L5" s="25">
        <v>4</v>
      </c>
      <c r="M5" s="37" t="s">
        <v>130</v>
      </c>
    </row>
    <row r="6" spans="1:13">
      <c r="A6" s="25">
        <f t="shared" ca="1" si="0"/>
        <v>11</v>
      </c>
      <c r="B6" s="37" t="str">
        <f t="shared" ca="1" si="1"/>
        <v>czwartek</v>
      </c>
      <c r="C6" s="34"/>
      <c r="L6" s="25">
        <v>5</v>
      </c>
      <c r="M6" s="37" t="s">
        <v>81</v>
      </c>
    </row>
    <row r="7" spans="1:13">
      <c r="A7" s="25">
        <f t="shared" ca="1" si="0"/>
        <v>12</v>
      </c>
      <c r="B7" s="37" t="str">
        <f t="shared" ca="1" si="1"/>
        <v>piątek</v>
      </c>
      <c r="C7" s="34"/>
      <c r="L7" s="25">
        <v>6</v>
      </c>
      <c r="M7" s="37" t="s">
        <v>82</v>
      </c>
    </row>
    <row r="8" spans="1:13">
      <c r="A8" s="25">
        <f t="shared" ca="1" si="0"/>
        <v>13</v>
      </c>
      <c r="B8" s="37" t="str">
        <f t="shared" ca="1" si="1"/>
        <v>SOBOTA</v>
      </c>
      <c r="C8" s="34"/>
      <c r="L8" s="25">
        <v>7</v>
      </c>
      <c r="M8" s="37" t="s">
        <v>83</v>
      </c>
    </row>
    <row r="9" spans="1:13">
      <c r="A9" s="25">
        <f t="shared" ca="1" si="0"/>
        <v>14</v>
      </c>
      <c r="B9" s="37" t="str">
        <f t="shared" ca="1" si="1"/>
        <v>niedziela</v>
      </c>
      <c r="C9" s="34"/>
      <c r="L9" s="25">
        <v>8</v>
      </c>
      <c r="M9" s="37" t="s">
        <v>77</v>
      </c>
    </row>
    <row r="10" spans="1:13">
      <c r="A10" s="25">
        <f t="shared" ca="1" si="0"/>
        <v>15</v>
      </c>
      <c r="B10" s="37" t="str">
        <f t="shared" ca="1" si="1"/>
        <v>poniedziałek</v>
      </c>
      <c r="C10" s="34"/>
      <c r="L10" s="25">
        <v>9</v>
      </c>
      <c r="M10" s="37" t="s">
        <v>78</v>
      </c>
    </row>
    <row r="11" spans="1:13">
      <c r="A11" s="25">
        <f t="shared" ca="1" si="0"/>
        <v>16</v>
      </c>
      <c r="B11" s="37" t="str">
        <f t="shared" ca="1" si="1"/>
        <v>wtorek</v>
      </c>
      <c r="C11" s="34"/>
      <c r="L11" s="25">
        <v>10</v>
      </c>
      <c r="M11" s="37" t="s">
        <v>79</v>
      </c>
    </row>
    <row r="12" spans="1:13">
      <c r="A12" s="25">
        <f t="shared" ca="1" si="0"/>
        <v>17</v>
      </c>
      <c r="B12" s="37" t="str">
        <f t="shared" ca="1" si="1"/>
        <v>środa</v>
      </c>
      <c r="C12" s="34"/>
      <c r="L12" s="25">
        <v>11</v>
      </c>
      <c r="M12" s="37" t="s">
        <v>80</v>
      </c>
    </row>
    <row r="13" spans="1:13">
      <c r="A13" s="25">
        <f t="shared" ca="1" si="0"/>
        <v>18</v>
      </c>
      <c r="B13" s="37" t="str">
        <f t="shared" ca="1" si="1"/>
        <v>cZwartek</v>
      </c>
      <c r="C13" s="34"/>
      <c r="L13" s="25">
        <v>12</v>
      </c>
      <c r="M13" s="37" t="s">
        <v>81</v>
      </c>
    </row>
    <row r="14" spans="1:13">
      <c r="A14" s="25">
        <f t="shared" ca="1" si="0"/>
        <v>19</v>
      </c>
      <c r="B14" s="37" t="str">
        <f t="shared" ca="1" si="1"/>
        <v>piątek</v>
      </c>
      <c r="C14" s="34"/>
      <c r="L14" s="25">
        <v>13</v>
      </c>
      <c r="M14" s="37" t="s">
        <v>137</v>
      </c>
    </row>
    <row r="15" spans="1:13">
      <c r="A15" s="25">
        <f t="shared" ca="1" si="0"/>
        <v>20</v>
      </c>
      <c r="B15" s="37" t="str">
        <f t="shared" ca="1" si="1"/>
        <v>sobota</v>
      </c>
      <c r="C15" s="34"/>
      <c r="L15" s="25">
        <v>14</v>
      </c>
      <c r="M15" s="37" t="s">
        <v>83</v>
      </c>
    </row>
    <row r="16" spans="1:13">
      <c r="A16" s="25">
        <f t="shared" ca="1" si="0"/>
        <v>21</v>
      </c>
      <c r="B16" s="37" t="str">
        <f t="shared" ca="1" si="1"/>
        <v>niedziela</v>
      </c>
      <c r="C16" s="34"/>
      <c r="L16" s="25">
        <v>15</v>
      </c>
      <c r="M16" s="37" t="s">
        <v>77</v>
      </c>
    </row>
    <row r="17" spans="1:13">
      <c r="A17" s="25">
        <f t="shared" ca="1" si="0"/>
        <v>22</v>
      </c>
      <c r="B17" s="37" t="str">
        <f t="shared" ca="1" si="1"/>
        <v>pONiedziałek</v>
      </c>
      <c r="C17" s="34"/>
      <c r="L17" s="25">
        <v>16</v>
      </c>
      <c r="M17" s="37" t="s">
        <v>78</v>
      </c>
    </row>
    <row r="18" spans="1:13">
      <c r="A18" s="25">
        <f t="shared" ca="1" si="0"/>
        <v>23</v>
      </c>
      <c r="B18" s="37" t="str">
        <f t="shared" ca="1" si="1"/>
        <v>wtorek</v>
      </c>
      <c r="C18" s="34"/>
      <c r="L18" s="25">
        <v>17</v>
      </c>
      <c r="M18" s="37" t="s">
        <v>79</v>
      </c>
    </row>
    <row r="19" spans="1:13">
      <c r="A19" s="25">
        <f t="shared" ca="1" si="0"/>
        <v>24</v>
      </c>
      <c r="B19" s="37" t="str">
        <f t="shared" ca="1" si="1"/>
        <v>środa</v>
      </c>
      <c r="C19" s="34"/>
      <c r="L19" s="25">
        <v>18</v>
      </c>
      <c r="M19" s="37" t="s">
        <v>131</v>
      </c>
    </row>
    <row r="20" spans="1:13">
      <c r="A20" s="25">
        <f t="shared" ca="1" si="0"/>
        <v>25</v>
      </c>
      <c r="B20" s="37" t="str">
        <f t="shared" ca="1" si="1"/>
        <v>czwartek</v>
      </c>
      <c r="C20" s="34"/>
      <c r="L20" s="25">
        <v>19</v>
      </c>
      <c r="M20" s="37" t="s">
        <v>81</v>
      </c>
    </row>
    <row r="21" spans="1:13">
      <c r="A21" s="25">
        <f t="shared" ca="1" si="0"/>
        <v>26</v>
      </c>
      <c r="B21" s="37" t="str">
        <f t="shared" ca="1" si="1"/>
        <v>pIĄtek</v>
      </c>
      <c r="C21" s="34"/>
      <c r="L21" s="25">
        <v>20</v>
      </c>
      <c r="M21" s="37" t="s">
        <v>82</v>
      </c>
    </row>
    <row r="22" spans="1:13">
      <c r="B22" s="36"/>
      <c r="L22" s="25">
        <v>21</v>
      </c>
      <c r="M22" s="37" t="s">
        <v>83</v>
      </c>
    </row>
    <row r="23" spans="1:13">
      <c r="B23" s="36"/>
      <c r="L23" s="25">
        <v>22</v>
      </c>
      <c r="M23" s="37" t="s">
        <v>132</v>
      </c>
    </row>
    <row r="24" spans="1:13">
      <c r="B24" s="36"/>
      <c r="L24" s="25">
        <v>23</v>
      </c>
      <c r="M24" s="37" t="s">
        <v>78</v>
      </c>
    </row>
    <row r="25" spans="1:13">
      <c r="B25" s="36"/>
      <c r="L25" s="25">
        <v>24</v>
      </c>
      <c r="M25" s="37" t="s">
        <v>79</v>
      </c>
    </row>
    <row r="26" spans="1:13">
      <c r="B26" s="36"/>
      <c r="L26" s="25">
        <v>25</v>
      </c>
      <c r="M26" s="37" t="s">
        <v>80</v>
      </c>
    </row>
    <row r="27" spans="1:13">
      <c r="L27" s="25">
        <v>26</v>
      </c>
      <c r="M27" s="37" t="s">
        <v>133</v>
      </c>
    </row>
    <row r="28" spans="1:13">
      <c r="L28" s="25">
        <v>27</v>
      </c>
      <c r="M28" s="37" t="s">
        <v>82</v>
      </c>
    </row>
    <row r="29" spans="1:13">
      <c r="L29" s="25">
        <v>28</v>
      </c>
      <c r="M29" s="37" t="s">
        <v>83</v>
      </c>
    </row>
    <row r="30" spans="1:13">
      <c r="L30" s="25">
        <v>29</v>
      </c>
      <c r="M30" s="37" t="s">
        <v>134</v>
      </c>
    </row>
    <row r="31" spans="1:13">
      <c r="L31" s="25">
        <v>30</v>
      </c>
      <c r="M31" s="37" t="s">
        <v>135</v>
      </c>
    </row>
    <row r="32" spans="1:13">
      <c r="L32" s="25">
        <v>31</v>
      </c>
      <c r="M32" s="37" t="s">
        <v>136</v>
      </c>
    </row>
    <row r="33" spans="12:13">
      <c r="L33" s="25">
        <v>32</v>
      </c>
      <c r="M33" s="37" t="s">
        <v>80</v>
      </c>
    </row>
    <row r="34" spans="12:13">
      <c r="L34" s="25">
        <v>33</v>
      </c>
      <c r="M34" s="37" t="s">
        <v>81</v>
      </c>
    </row>
    <row r="35" spans="12:13">
      <c r="L35" s="25">
        <v>34</v>
      </c>
      <c r="M35" s="37" t="s">
        <v>82</v>
      </c>
    </row>
    <row r="36" spans="12:13">
      <c r="L36" s="25">
        <v>35</v>
      </c>
      <c r="M36" s="37" t="s">
        <v>83</v>
      </c>
    </row>
    <row r="37" spans="12:13">
      <c r="L37" s="25">
        <v>36</v>
      </c>
      <c r="M37" s="37" t="s">
        <v>77</v>
      </c>
    </row>
    <row r="38" spans="12:13">
      <c r="L38" s="25">
        <v>37</v>
      </c>
      <c r="M38" s="37" t="s">
        <v>78</v>
      </c>
    </row>
    <row r="39" spans="12:13">
      <c r="L39" s="25">
        <v>38</v>
      </c>
      <c r="M39" s="37" t="s">
        <v>79</v>
      </c>
    </row>
    <row r="40" spans="12:13">
      <c r="L40" s="25">
        <v>39</v>
      </c>
      <c r="M40" s="37" t="s">
        <v>80</v>
      </c>
    </row>
    <row r="41" spans="12:13">
      <c r="L41" s="25">
        <v>40</v>
      </c>
      <c r="M41" s="37" t="s">
        <v>81</v>
      </c>
    </row>
  </sheetData>
  <customSheetViews>
    <customSheetView guid="{F9B480CE-077C-416E-ACF9-56227F746F4A}" hiddenColumns="1" topLeftCell="B1">
      <selection activeCell="H30" sqref="H30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H30" sqref="H30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B0F0"/>
  </sheetPr>
  <dimension ref="A1:N46"/>
  <sheetViews>
    <sheetView topLeftCell="B10" workbookViewId="0">
      <selection activeCell="F21" sqref="F21"/>
    </sheetView>
  </sheetViews>
  <sheetFormatPr defaultRowHeight="12.75"/>
  <cols>
    <col min="1" max="1" width="7.42578125" style="25" hidden="1" customWidth="1"/>
    <col min="2" max="2" width="12.85546875" style="25" bestFit="1" customWidth="1"/>
    <col min="3" max="3" width="20.42578125" style="25" bestFit="1" customWidth="1"/>
    <col min="4" max="12" width="9.140625" style="25"/>
    <col min="13" max="13" width="12" style="25" hidden="1" customWidth="1"/>
    <col min="14" max="14" width="11.28515625" style="25" hidden="1" customWidth="1"/>
    <col min="15" max="16384" width="9.140625" style="25"/>
  </cols>
  <sheetData>
    <row r="1" spans="1:14" ht="13.5" thickBot="1">
      <c r="B1" s="29" t="s">
        <v>140</v>
      </c>
      <c r="C1" s="37" t="s">
        <v>0</v>
      </c>
      <c r="D1" s="76" t="s">
        <v>139</v>
      </c>
    </row>
    <row r="2" spans="1:14">
      <c r="A2" s="25">
        <f ca="1">ROUND(RAND()*19+1,0)</f>
        <v>19</v>
      </c>
      <c r="B2" s="29">
        <f ca="1">ROUND(RAND()*20+1989,0)</f>
        <v>2004</v>
      </c>
      <c r="C2" s="37" t="str">
        <f ca="1">VLOOKUP(A2,$M$2:$N$41,2)</f>
        <v>Anna</v>
      </c>
      <c r="D2" s="33"/>
      <c r="M2" s="25">
        <v>1</v>
      </c>
      <c r="N2" s="1" t="s">
        <v>1</v>
      </c>
    </row>
    <row r="3" spans="1:14">
      <c r="A3" s="25">
        <f ca="1">A2+1</f>
        <v>20</v>
      </c>
      <c r="B3" s="29">
        <f t="shared" ref="B3:B21" ca="1" si="0">ROUND(RAND()*20+1989,0)</f>
        <v>1999</v>
      </c>
      <c r="C3" s="37" t="str">
        <f ca="1">VLOOKUP(A3,$M$2:$N$41,2)</f>
        <v>Monika</v>
      </c>
      <c r="D3" s="34"/>
      <c r="M3" s="25">
        <v>2</v>
      </c>
      <c r="N3" s="1" t="s">
        <v>2</v>
      </c>
    </row>
    <row r="4" spans="1:14">
      <c r="A4" s="25">
        <f t="shared" ref="A4:A21" ca="1" si="1">A3+1</f>
        <v>21</v>
      </c>
      <c r="B4" s="29">
        <f t="shared" ca="1" si="0"/>
        <v>1995</v>
      </c>
      <c r="C4" s="37" t="str">
        <f t="shared" ref="C4:C21" ca="1" si="2">VLOOKUP(A4,$M$2:$N$41,2)</f>
        <v>Jarosław</v>
      </c>
      <c r="D4" s="34"/>
      <c r="M4" s="25">
        <v>3</v>
      </c>
      <c r="N4" s="75" t="s">
        <v>3</v>
      </c>
    </row>
    <row r="5" spans="1:14">
      <c r="A5" s="25">
        <f t="shared" ca="1" si="1"/>
        <v>22</v>
      </c>
      <c r="B5" s="29">
        <f t="shared" ca="1" si="0"/>
        <v>2000</v>
      </c>
      <c r="C5" s="37" t="str">
        <f t="shared" ca="1" si="2"/>
        <v>Andrzej</v>
      </c>
      <c r="D5" s="34"/>
      <c r="M5" s="25">
        <v>4</v>
      </c>
      <c r="N5" s="1" t="s">
        <v>4</v>
      </c>
    </row>
    <row r="6" spans="1:14">
      <c r="A6" s="25">
        <f t="shared" ca="1" si="1"/>
        <v>23</v>
      </c>
      <c r="B6" s="29">
        <f t="shared" ca="1" si="0"/>
        <v>1992</v>
      </c>
      <c r="C6" s="37" t="str">
        <f t="shared" ca="1" si="2"/>
        <v>Maciej</v>
      </c>
      <c r="D6" s="34"/>
      <c r="M6" s="25">
        <v>5</v>
      </c>
      <c r="N6" s="1" t="s">
        <v>5</v>
      </c>
    </row>
    <row r="7" spans="1:14">
      <c r="A7" s="25">
        <f t="shared" ca="1" si="1"/>
        <v>24</v>
      </c>
      <c r="B7" s="29">
        <f t="shared" ca="1" si="0"/>
        <v>1997</v>
      </c>
      <c r="C7" s="37" t="str">
        <f t="shared" ca="1" si="2"/>
        <v>Katarzyna</v>
      </c>
      <c r="D7" s="34"/>
      <c r="M7" s="25">
        <v>6</v>
      </c>
      <c r="N7" s="1" t="s">
        <v>6</v>
      </c>
    </row>
    <row r="8" spans="1:14">
      <c r="A8" s="25">
        <f t="shared" ca="1" si="1"/>
        <v>25</v>
      </c>
      <c r="B8" s="29">
        <f t="shared" ca="1" si="0"/>
        <v>2009</v>
      </c>
      <c r="C8" s="37" t="str">
        <f t="shared" ca="1" si="2"/>
        <v>Justyna</v>
      </c>
      <c r="D8" s="34"/>
      <c r="M8" s="25">
        <v>7</v>
      </c>
      <c r="N8" s="1" t="s">
        <v>7</v>
      </c>
    </row>
    <row r="9" spans="1:14">
      <c r="A9" s="25">
        <f t="shared" ca="1" si="1"/>
        <v>26</v>
      </c>
      <c r="B9" s="29">
        <f t="shared" ca="1" si="0"/>
        <v>1995</v>
      </c>
      <c r="C9" s="37" t="str">
        <f t="shared" ca="1" si="2"/>
        <v>Monika</v>
      </c>
      <c r="D9" s="34"/>
      <c r="M9" s="25">
        <v>8</v>
      </c>
      <c r="N9" s="1" t="s">
        <v>2</v>
      </c>
    </row>
    <row r="10" spans="1:14">
      <c r="A10" s="25">
        <f t="shared" ca="1" si="1"/>
        <v>27</v>
      </c>
      <c r="B10" s="29">
        <f t="shared" ca="1" si="0"/>
        <v>1993</v>
      </c>
      <c r="C10" s="37" t="str">
        <f t="shared" ca="1" si="2"/>
        <v>Maria</v>
      </c>
      <c r="D10" s="34"/>
      <c r="M10" s="25">
        <v>9</v>
      </c>
      <c r="N10" s="1" t="s">
        <v>8</v>
      </c>
    </row>
    <row r="11" spans="1:14">
      <c r="A11" s="25">
        <f t="shared" ca="1" si="1"/>
        <v>28</v>
      </c>
      <c r="B11" s="29">
        <f t="shared" ca="1" si="0"/>
        <v>1997</v>
      </c>
      <c r="C11" s="37" t="str">
        <f t="shared" ca="1" si="2"/>
        <v>Anna</v>
      </c>
      <c r="D11" s="34"/>
      <c r="M11" s="25">
        <v>10</v>
      </c>
      <c r="N11" s="1" t="s">
        <v>1</v>
      </c>
    </row>
    <row r="12" spans="1:14">
      <c r="A12" s="25">
        <f t="shared" ca="1" si="1"/>
        <v>29</v>
      </c>
      <c r="B12" s="29">
        <f t="shared" ca="1" si="0"/>
        <v>2008</v>
      </c>
      <c r="C12" s="37" t="str">
        <f t="shared" ca="1" si="2"/>
        <v>Monika</v>
      </c>
      <c r="D12" s="34"/>
      <c r="M12" s="25">
        <v>11</v>
      </c>
      <c r="N12" s="1" t="s">
        <v>2</v>
      </c>
    </row>
    <row r="13" spans="1:14">
      <c r="A13" s="25">
        <f t="shared" ca="1" si="1"/>
        <v>30</v>
      </c>
      <c r="B13" s="29">
        <f t="shared" ca="1" si="0"/>
        <v>1995</v>
      </c>
      <c r="C13" s="37" t="str">
        <f t="shared" ca="1" si="2"/>
        <v>Jarosław</v>
      </c>
      <c r="D13" s="34"/>
      <c r="M13" s="25">
        <v>12</v>
      </c>
      <c r="N13" s="1" t="s">
        <v>3</v>
      </c>
    </row>
    <row r="14" spans="1:14">
      <c r="A14" s="25">
        <f t="shared" ca="1" si="1"/>
        <v>31</v>
      </c>
      <c r="B14" s="29">
        <f t="shared" ca="1" si="0"/>
        <v>1992</v>
      </c>
      <c r="C14" s="37" t="str">
        <f t="shared" ca="1" si="2"/>
        <v>Andrzej</v>
      </c>
      <c r="D14" s="34"/>
      <c r="M14" s="25">
        <v>13</v>
      </c>
      <c r="N14" s="1" t="s">
        <v>4</v>
      </c>
    </row>
    <row r="15" spans="1:14">
      <c r="A15" s="25">
        <f t="shared" ca="1" si="1"/>
        <v>32</v>
      </c>
      <c r="B15" s="29">
        <f t="shared" ca="1" si="0"/>
        <v>2006</v>
      </c>
      <c r="C15" s="37" t="str">
        <f t="shared" ca="1" si="2"/>
        <v>Maciej</v>
      </c>
      <c r="D15" s="34"/>
      <c r="M15" s="25">
        <v>14</v>
      </c>
      <c r="N15" s="1" t="s">
        <v>5</v>
      </c>
    </row>
    <row r="16" spans="1:14">
      <c r="A16" s="25">
        <f t="shared" ca="1" si="1"/>
        <v>33</v>
      </c>
      <c r="B16" s="29">
        <f t="shared" ca="1" si="0"/>
        <v>2000</v>
      </c>
      <c r="C16" s="37" t="str">
        <f t="shared" ca="1" si="2"/>
        <v>Katarzyna</v>
      </c>
      <c r="D16" s="34"/>
      <c r="M16" s="25">
        <v>15</v>
      </c>
      <c r="N16" s="1" t="s">
        <v>6</v>
      </c>
    </row>
    <row r="17" spans="1:14">
      <c r="A17" s="25">
        <f t="shared" ca="1" si="1"/>
        <v>34</v>
      </c>
      <c r="B17" s="29">
        <f t="shared" ca="1" si="0"/>
        <v>2008</v>
      </c>
      <c r="C17" s="37" t="str">
        <f t="shared" ca="1" si="2"/>
        <v>Justyna</v>
      </c>
      <c r="D17" s="34"/>
      <c r="M17" s="25">
        <v>16</v>
      </c>
      <c r="N17" s="1" t="s">
        <v>7</v>
      </c>
    </row>
    <row r="18" spans="1:14">
      <c r="A18" s="25">
        <f t="shared" ca="1" si="1"/>
        <v>35</v>
      </c>
      <c r="B18" s="29">
        <f t="shared" ca="1" si="0"/>
        <v>1997</v>
      </c>
      <c r="C18" s="37" t="str">
        <f t="shared" ca="1" si="2"/>
        <v>Monika</v>
      </c>
      <c r="D18" s="34"/>
      <c r="M18" s="25">
        <v>17</v>
      </c>
      <c r="N18" s="1" t="s">
        <v>2</v>
      </c>
    </row>
    <row r="19" spans="1:14">
      <c r="A19" s="25">
        <f t="shared" ca="1" si="1"/>
        <v>36</v>
      </c>
      <c r="B19" s="29">
        <f t="shared" ca="1" si="0"/>
        <v>2001</v>
      </c>
      <c r="C19" s="37" t="str">
        <f t="shared" ca="1" si="2"/>
        <v>Maria</v>
      </c>
      <c r="D19" s="34"/>
      <c r="M19" s="25">
        <v>18</v>
      </c>
      <c r="N19" s="1" t="s">
        <v>8</v>
      </c>
    </row>
    <row r="20" spans="1:14">
      <c r="A20" s="25">
        <f t="shared" ca="1" si="1"/>
        <v>37</v>
      </c>
      <c r="B20" s="29">
        <f t="shared" ca="1" si="0"/>
        <v>2006</v>
      </c>
      <c r="C20" s="37" t="str">
        <f t="shared" ca="1" si="2"/>
        <v>Anna</v>
      </c>
      <c r="D20" s="34"/>
      <c r="M20" s="25">
        <v>19</v>
      </c>
      <c r="N20" s="1" t="s">
        <v>1</v>
      </c>
    </row>
    <row r="21" spans="1:14" ht="13.5" thickBot="1">
      <c r="A21" s="25">
        <f t="shared" ca="1" si="1"/>
        <v>38</v>
      </c>
      <c r="B21" s="29">
        <f t="shared" ca="1" si="0"/>
        <v>1989</v>
      </c>
      <c r="C21" s="37" t="str">
        <f t="shared" ca="1" si="2"/>
        <v>Monika</v>
      </c>
      <c r="D21" s="35"/>
      <c r="M21" s="25">
        <v>20</v>
      </c>
      <c r="N21" s="1" t="s">
        <v>2</v>
      </c>
    </row>
    <row r="22" spans="1:14">
      <c r="C22" s="36"/>
      <c r="M22" s="25">
        <v>21</v>
      </c>
      <c r="N22" s="1" t="s">
        <v>3</v>
      </c>
    </row>
    <row r="23" spans="1:14">
      <c r="C23" s="36"/>
      <c r="M23" s="25">
        <v>22</v>
      </c>
      <c r="N23" s="1" t="s">
        <v>4</v>
      </c>
    </row>
    <row r="24" spans="1:14">
      <c r="C24" s="36"/>
      <c r="M24" s="25">
        <v>23</v>
      </c>
      <c r="N24" s="1" t="s">
        <v>5</v>
      </c>
    </row>
    <row r="25" spans="1:14">
      <c r="C25" s="36"/>
      <c r="M25" s="25">
        <v>24</v>
      </c>
      <c r="N25" s="1" t="s">
        <v>6</v>
      </c>
    </row>
    <row r="26" spans="1:14">
      <c r="C26" s="36"/>
      <c r="M26" s="25">
        <v>25</v>
      </c>
      <c r="N26" s="1" t="s">
        <v>7</v>
      </c>
    </row>
    <row r="27" spans="1:14">
      <c r="M27" s="25">
        <v>26</v>
      </c>
      <c r="N27" s="1" t="s">
        <v>2</v>
      </c>
    </row>
    <row r="28" spans="1:14">
      <c r="M28" s="25">
        <v>27</v>
      </c>
      <c r="N28" s="1" t="s">
        <v>8</v>
      </c>
    </row>
    <row r="29" spans="1:14">
      <c r="M29" s="25">
        <v>28</v>
      </c>
      <c r="N29" s="1" t="s">
        <v>1</v>
      </c>
    </row>
    <row r="30" spans="1:14">
      <c r="M30" s="25">
        <v>29</v>
      </c>
      <c r="N30" s="1" t="s">
        <v>2</v>
      </c>
    </row>
    <row r="31" spans="1:14">
      <c r="M31" s="25">
        <v>30</v>
      </c>
      <c r="N31" s="1" t="s">
        <v>3</v>
      </c>
    </row>
    <row r="32" spans="1:14">
      <c r="M32" s="25">
        <v>31</v>
      </c>
      <c r="N32" s="1" t="s">
        <v>4</v>
      </c>
    </row>
    <row r="33" spans="13:14">
      <c r="M33" s="25">
        <v>32</v>
      </c>
      <c r="N33" s="1" t="s">
        <v>5</v>
      </c>
    </row>
    <row r="34" spans="13:14">
      <c r="M34" s="25">
        <v>33</v>
      </c>
      <c r="N34" s="1" t="s">
        <v>6</v>
      </c>
    </row>
    <row r="35" spans="13:14">
      <c r="M35" s="25">
        <v>34</v>
      </c>
      <c r="N35" s="1" t="s">
        <v>7</v>
      </c>
    </row>
    <row r="36" spans="13:14">
      <c r="M36" s="25">
        <v>35</v>
      </c>
      <c r="N36" s="1" t="s">
        <v>2</v>
      </c>
    </row>
    <row r="37" spans="13:14">
      <c r="M37" s="25">
        <v>36</v>
      </c>
      <c r="N37" s="1" t="s">
        <v>8</v>
      </c>
    </row>
    <row r="38" spans="13:14">
      <c r="M38" s="25">
        <v>37</v>
      </c>
      <c r="N38" s="1" t="s">
        <v>1</v>
      </c>
    </row>
    <row r="39" spans="13:14">
      <c r="M39" s="25">
        <v>38</v>
      </c>
      <c r="N39" s="1" t="s">
        <v>2</v>
      </c>
    </row>
    <row r="40" spans="13:14">
      <c r="M40" s="25">
        <v>39</v>
      </c>
      <c r="N40" s="1" t="s">
        <v>3</v>
      </c>
    </row>
    <row r="41" spans="13:14">
      <c r="M41" s="25">
        <v>40</v>
      </c>
      <c r="N41" s="1" t="s">
        <v>4</v>
      </c>
    </row>
    <row r="42" spans="13:14">
      <c r="N42" s="1" t="s">
        <v>5</v>
      </c>
    </row>
    <row r="43" spans="13:14">
      <c r="N43" s="1" t="s">
        <v>6</v>
      </c>
    </row>
    <row r="44" spans="13:14">
      <c r="N44" s="1" t="s">
        <v>7</v>
      </c>
    </row>
    <row r="45" spans="13:14">
      <c r="N45" s="1" t="s">
        <v>2</v>
      </c>
    </row>
    <row r="46" spans="13:14">
      <c r="N46" s="1" t="s">
        <v>8</v>
      </c>
    </row>
  </sheetData>
  <customSheetViews>
    <customSheetView guid="{F9B480CE-077C-416E-ACF9-56227F746F4A}" hiddenColumns="1" topLeftCell="B1">
      <selection activeCell="F21" sqref="F2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F21" sqref="F2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2" tint="-9.9978637043366805E-2"/>
  </sheetPr>
  <dimension ref="A2:L56"/>
  <sheetViews>
    <sheetView topLeftCell="A73" workbookViewId="0">
      <selection activeCell="C66" sqref="C66"/>
    </sheetView>
  </sheetViews>
  <sheetFormatPr defaultRowHeight="12.75"/>
  <cols>
    <col min="6" max="6" width="11.140625" bestFit="1" customWidth="1"/>
    <col min="7" max="7" width="4" bestFit="1" customWidth="1"/>
    <col min="8" max="8" width="6.42578125" bestFit="1" customWidth="1"/>
  </cols>
  <sheetData>
    <row r="2" spans="1:12" ht="13.5" thickBot="1">
      <c r="I2" s="138" t="s">
        <v>142</v>
      </c>
      <c r="J2" s="139"/>
      <c r="K2" s="139"/>
      <c r="L2" s="139"/>
    </row>
    <row r="3" spans="1:12" ht="13.5" thickBot="1">
      <c r="A3" s="77" t="s">
        <v>143</v>
      </c>
      <c r="B3" s="78"/>
      <c r="C3" s="78"/>
      <c r="D3" s="78"/>
      <c r="E3" s="78"/>
      <c r="F3" s="77" t="s">
        <v>144</v>
      </c>
      <c r="G3" s="81">
        <f ca="1">ROUND(RAND()*180,0)</f>
        <v>141</v>
      </c>
      <c r="H3" s="77" t="s">
        <v>145</v>
      </c>
      <c r="I3" s="140"/>
      <c r="J3" s="140"/>
      <c r="K3" s="140"/>
      <c r="L3" s="140"/>
    </row>
    <row r="4" spans="1:12">
      <c r="A4" s="79" t="s">
        <v>146</v>
      </c>
      <c r="B4" s="79"/>
      <c r="C4" s="79"/>
      <c r="D4" s="79"/>
      <c r="E4" s="79"/>
      <c r="F4" s="79"/>
      <c r="G4" s="79"/>
      <c r="H4" s="79"/>
      <c r="I4" s="140"/>
      <c r="J4" s="140"/>
      <c r="K4" s="140"/>
      <c r="L4" s="140"/>
    </row>
    <row r="5" spans="1:12">
      <c r="A5" s="141" t="s">
        <v>149</v>
      </c>
      <c r="B5" s="141"/>
      <c r="C5" s="141"/>
      <c r="D5" s="141"/>
      <c r="E5" s="141"/>
      <c r="F5" s="141"/>
      <c r="G5" s="141"/>
      <c r="H5" s="141"/>
      <c r="I5" s="140"/>
      <c r="J5" s="140"/>
      <c r="K5" s="140"/>
      <c r="L5" s="140"/>
    </row>
    <row r="6" spans="1:12">
      <c r="I6" s="140"/>
      <c r="J6" s="140"/>
      <c r="K6" s="140"/>
      <c r="L6" s="140"/>
    </row>
    <row r="7" spans="1:12">
      <c r="I7" s="140"/>
      <c r="J7" s="140"/>
      <c r="K7" s="140"/>
      <c r="L7" s="140"/>
    </row>
    <row r="8" spans="1:12">
      <c r="I8" s="140"/>
      <c r="J8" s="140"/>
      <c r="K8" s="140"/>
      <c r="L8" s="140"/>
    </row>
    <row r="15" spans="1:12" ht="13.5" thickBot="1">
      <c r="I15" s="138" t="s">
        <v>142</v>
      </c>
      <c r="J15" s="139"/>
      <c r="K15" s="139"/>
      <c r="L15" s="139"/>
    </row>
    <row r="16" spans="1:12" ht="13.5" thickBot="1">
      <c r="A16" s="77" t="s">
        <v>143</v>
      </c>
      <c r="B16" s="78"/>
      <c r="C16" s="78"/>
      <c r="D16" s="78"/>
      <c r="E16" s="78"/>
      <c r="F16" s="80" t="s">
        <v>147</v>
      </c>
      <c r="G16" s="81">
        <f ca="1">ROUND(RAND()*180,0)</f>
        <v>48</v>
      </c>
      <c r="H16" s="77"/>
      <c r="I16" s="140"/>
      <c r="J16" s="140"/>
      <c r="K16" s="140"/>
      <c r="L16" s="140"/>
    </row>
    <row r="17" spans="1:12">
      <c r="A17" s="79" t="s">
        <v>148</v>
      </c>
      <c r="B17" s="79"/>
      <c r="C17" s="79"/>
      <c r="D17" s="79"/>
      <c r="E17" s="79"/>
      <c r="F17" s="79"/>
      <c r="G17" s="79"/>
      <c r="H17" s="79"/>
      <c r="I17" s="140"/>
      <c r="J17" s="140"/>
      <c r="K17" s="140"/>
      <c r="L17" s="140"/>
    </row>
    <row r="18" spans="1:12">
      <c r="A18" s="141" t="s">
        <v>150</v>
      </c>
      <c r="B18" s="141"/>
      <c r="C18" s="141"/>
      <c r="D18" s="141"/>
      <c r="E18" s="141"/>
      <c r="F18" s="141"/>
      <c r="G18" s="141"/>
      <c r="H18" s="141"/>
      <c r="I18" s="140"/>
      <c r="J18" s="140"/>
      <c r="K18" s="140"/>
      <c r="L18" s="140"/>
    </row>
    <row r="19" spans="1:12">
      <c r="I19" s="140"/>
      <c r="J19" s="140"/>
      <c r="K19" s="140"/>
      <c r="L19" s="140"/>
    </row>
    <row r="20" spans="1:12">
      <c r="I20" s="140"/>
      <c r="J20" s="140"/>
      <c r="K20" s="140"/>
      <c r="L20" s="140"/>
    </row>
    <row r="21" spans="1:12">
      <c r="I21" s="140"/>
      <c r="J21" s="140"/>
      <c r="K21" s="140"/>
      <c r="L21" s="140"/>
    </row>
    <row r="26" spans="1:12" ht="13.5" thickBot="1">
      <c r="I26" s="138" t="s">
        <v>142</v>
      </c>
      <c r="J26" s="139"/>
      <c r="K26" s="139"/>
      <c r="L26" s="139"/>
    </row>
    <row r="27" spans="1:12" ht="13.5" thickBot="1">
      <c r="A27" s="77" t="s">
        <v>143</v>
      </c>
      <c r="B27" s="78"/>
      <c r="C27" s="78"/>
      <c r="D27" s="78"/>
      <c r="E27" s="78"/>
      <c r="F27" s="77" t="s">
        <v>144</v>
      </c>
      <c r="G27" s="81">
        <f ca="1">ROUND(RAND()*180,0)</f>
        <v>10</v>
      </c>
      <c r="H27" s="77" t="s">
        <v>145</v>
      </c>
      <c r="I27" s="140"/>
      <c r="J27" s="140"/>
      <c r="K27" s="140"/>
      <c r="L27" s="140"/>
    </row>
    <row r="28" spans="1:12">
      <c r="A28" s="79" t="s">
        <v>146</v>
      </c>
      <c r="B28" s="79"/>
      <c r="C28" s="79"/>
      <c r="D28" s="79"/>
      <c r="E28" s="79"/>
      <c r="F28" s="79"/>
      <c r="G28" s="79"/>
      <c r="H28" s="79"/>
      <c r="I28" s="140"/>
      <c r="J28" s="140"/>
      <c r="K28" s="140"/>
      <c r="L28" s="140"/>
    </row>
    <row r="29" spans="1:12">
      <c r="A29" s="141" t="s">
        <v>218</v>
      </c>
      <c r="B29" s="141"/>
      <c r="C29" s="141"/>
      <c r="D29" s="141"/>
      <c r="E29" s="141"/>
      <c r="F29" s="141"/>
      <c r="G29" s="141"/>
      <c r="H29" s="141"/>
      <c r="I29" s="140"/>
      <c r="J29" s="140"/>
      <c r="K29" s="140"/>
      <c r="L29" s="140"/>
    </row>
    <row r="30" spans="1:12">
      <c r="I30" s="140"/>
      <c r="J30" s="140"/>
      <c r="K30" s="140"/>
      <c r="L30" s="140"/>
    </row>
    <row r="31" spans="1:12">
      <c r="I31" s="140"/>
      <c r="J31" s="140"/>
      <c r="K31" s="140"/>
      <c r="L31" s="140"/>
    </row>
    <row r="32" spans="1:12">
      <c r="I32" s="140"/>
      <c r="J32" s="140"/>
      <c r="K32" s="140"/>
      <c r="L32" s="140"/>
    </row>
    <row r="39" spans="1:12" ht="13.5" thickBot="1">
      <c r="I39" s="138" t="s">
        <v>142</v>
      </c>
      <c r="J39" s="139"/>
      <c r="K39" s="139"/>
      <c r="L39" s="139"/>
    </row>
    <row r="40" spans="1:12" ht="13.5" thickBot="1">
      <c r="A40" s="77" t="s">
        <v>143</v>
      </c>
      <c r="B40" s="78"/>
      <c r="C40" s="78"/>
      <c r="D40" s="78"/>
      <c r="E40" s="78"/>
      <c r="F40" s="80" t="s">
        <v>280</v>
      </c>
      <c r="G40" s="81">
        <f ca="1">ROUND(RAND()*180,0)</f>
        <v>39</v>
      </c>
      <c r="H40" s="77"/>
      <c r="I40" s="140"/>
      <c r="J40" s="140"/>
      <c r="K40" s="140"/>
      <c r="L40" s="140"/>
    </row>
    <row r="41" spans="1:12">
      <c r="A41" s="79" t="s">
        <v>148</v>
      </c>
      <c r="B41" s="79"/>
      <c r="C41" s="79"/>
      <c r="D41" s="79"/>
      <c r="E41" s="79"/>
      <c r="F41" s="79"/>
      <c r="G41" s="79"/>
      <c r="H41" s="79"/>
      <c r="I41" s="140"/>
      <c r="J41" s="140"/>
      <c r="K41" s="140"/>
      <c r="L41" s="140"/>
    </row>
    <row r="42" spans="1:12">
      <c r="A42" s="141" t="s">
        <v>219</v>
      </c>
      <c r="B42" s="141"/>
      <c r="C42" s="141"/>
      <c r="D42" s="141"/>
      <c r="E42" s="141"/>
      <c r="F42" s="141"/>
      <c r="G42" s="141"/>
      <c r="H42" s="141"/>
      <c r="I42" s="140"/>
      <c r="J42" s="140"/>
      <c r="K42" s="140"/>
      <c r="L42" s="140"/>
    </row>
    <row r="43" spans="1:12">
      <c r="I43" s="140"/>
      <c r="J43" s="140"/>
      <c r="K43" s="140"/>
      <c r="L43" s="140"/>
    </row>
    <row r="44" spans="1:12">
      <c r="I44" s="140"/>
      <c r="J44" s="140"/>
      <c r="K44" s="140"/>
      <c r="L44" s="140"/>
    </row>
    <row r="45" spans="1:12">
      <c r="I45" s="140"/>
      <c r="J45" s="140"/>
      <c r="K45" s="140"/>
      <c r="L45" s="140"/>
    </row>
    <row r="50" spans="1:12" ht="13.5" thickBot="1">
      <c r="I50" s="138" t="s">
        <v>142</v>
      </c>
      <c r="J50" s="139"/>
      <c r="K50" s="139"/>
      <c r="L50" s="139"/>
    </row>
    <row r="51" spans="1:12" ht="13.5" thickBot="1">
      <c r="A51" s="77" t="s">
        <v>143</v>
      </c>
      <c r="B51" s="78"/>
      <c r="C51" s="78"/>
      <c r="D51" s="78"/>
      <c r="E51" s="78"/>
      <c r="F51" s="80" t="s">
        <v>280</v>
      </c>
      <c r="G51" s="81">
        <f ca="1">ROUND(RAND()*180,0)</f>
        <v>1</v>
      </c>
      <c r="H51" s="77"/>
      <c r="I51" s="140"/>
      <c r="J51" s="140"/>
      <c r="K51" s="140"/>
      <c r="L51" s="140"/>
    </row>
    <row r="52" spans="1:12">
      <c r="A52" s="79" t="s">
        <v>148</v>
      </c>
      <c r="B52" s="79"/>
      <c r="C52" s="79"/>
      <c r="D52" s="79"/>
      <c r="E52" s="79"/>
      <c r="F52" s="79"/>
      <c r="G52" s="79"/>
      <c r="H52" s="79"/>
      <c r="I52" s="140"/>
      <c r="J52" s="140"/>
      <c r="K52" s="140"/>
      <c r="L52" s="140"/>
    </row>
    <row r="53" spans="1:12">
      <c r="A53" s="141" t="s">
        <v>220</v>
      </c>
      <c r="B53" s="141"/>
      <c r="C53" s="141"/>
      <c r="D53" s="141"/>
      <c r="E53" s="141"/>
      <c r="F53" s="141"/>
      <c r="G53" s="141"/>
      <c r="H53" s="141"/>
      <c r="I53" s="140"/>
      <c r="J53" s="140"/>
      <c r="K53" s="140"/>
      <c r="L53" s="140"/>
    </row>
    <row r="54" spans="1:12">
      <c r="I54" s="140"/>
      <c r="J54" s="140"/>
      <c r="K54" s="140"/>
      <c r="L54" s="140"/>
    </row>
    <row r="55" spans="1:12">
      <c r="I55" s="140"/>
      <c r="J55" s="140"/>
      <c r="K55" s="140"/>
      <c r="L55" s="140"/>
    </row>
    <row r="56" spans="1:12">
      <c r="I56" s="140"/>
      <c r="J56" s="140"/>
      <c r="K56" s="140"/>
      <c r="L56" s="140"/>
    </row>
  </sheetData>
  <customSheetViews>
    <customSheetView guid="{F9B480CE-077C-416E-ACF9-56227F746F4A}" topLeftCell="A31">
      <pageMargins left="0.7" right="0.7" top="0.75" bottom="0.75" header="0.3" footer="0.3"/>
      <pageSetup paperSize="9" orientation="portrait" r:id="rId1"/>
    </customSheetView>
    <customSheetView guid="{3DF5E802-5CA5-43EF-BE6A-D6FCDA5F65F2}" topLeftCell="A31">
      <pageMargins left="0.7" right="0.7" top="0.75" bottom="0.75" header="0.3" footer="0.3"/>
      <pageSetup paperSize="9" orientation="portrait" r:id="rId2"/>
    </customSheetView>
  </customSheetViews>
  <mergeCells count="15">
    <mergeCell ref="I3:L8"/>
    <mergeCell ref="I2:L2"/>
    <mergeCell ref="I15:L15"/>
    <mergeCell ref="I16:L21"/>
    <mergeCell ref="A5:H5"/>
    <mergeCell ref="A18:H18"/>
    <mergeCell ref="I50:L50"/>
    <mergeCell ref="I51:L56"/>
    <mergeCell ref="A53:H53"/>
    <mergeCell ref="I26:L26"/>
    <mergeCell ref="I27:L32"/>
    <mergeCell ref="A29:H29"/>
    <mergeCell ref="I39:L39"/>
    <mergeCell ref="I40:L45"/>
    <mergeCell ref="A42:H42"/>
  </mergeCells>
  <pageMargins left="0.7" right="0.7" top="0.75" bottom="0.75" header="0.3" footer="0.3"/>
  <pageSetup paperSize="9" orientation="portrait" r:id="rId3"/>
  <legacyDrawing r:id="rId4"/>
  <oleObjects>
    <oleObject progId="Equation.3" shapeId="13314" r:id="rId5"/>
    <oleObject progId="Equation.3" shapeId="13317" r:id="rId6"/>
    <oleObject progId="Equation.3" shapeId="13318" r:id="rId7"/>
    <oleObject progId="Equation.3" shapeId="13319" r:id="rId8"/>
    <oleObject progId="Equation.3" shapeId="13320" r:id="rId9"/>
  </oleObjects>
</worksheet>
</file>

<file path=xl/worksheets/sheet16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R36" sqref="R36"/>
    </sheetView>
  </sheetViews>
  <sheetFormatPr defaultRowHeight="12.75"/>
  <cols>
    <col min="1" max="1" width="10.140625" style="25" bestFit="1" customWidth="1"/>
    <col min="2" max="2" width="12.85546875" style="25" customWidth="1"/>
    <col min="3" max="3" width="23" style="25" customWidth="1"/>
    <col min="4" max="11" width="9.140625" style="25"/>
    <col min="12" max="13" width="9.140625" style="25" hidden="1" customWidth="1"/>
    <col min="14" max="16384" width="9.140625" style="25"/>
  </cols>
  <sheetData>
    <row r="1" spans="1:13">
      <c r="A1" s="29" t="s">
        <v>19</v>
      </c>
      <c r="B1" s="31" t="s">
        <v>68</v>
      </c>
      <c r="C1" s="31" t="s">
        <v>151</v>
      </c>
    </row>
    <row r="2" spans="1:13">
      <c r="A2" s="82">
        <f ca="1">ROUND(RAND()*3286+40544,0)</f>
        <v>43352</v>
      </c>
      <c r="B2" s="31">
        <f t="shared" ref="B2:B21" ca="1" si="0">YEAR(A2)</f>
        <v>2018</v>
      </c>
      <c r="C2" s="83"/>
      <c r="L2" s="25">
        <v>1</v>
      </c>
      <c r="M2" s="37" t="s">
        <v>71</v>
      </c>
    </row>
    <row r="3" spans="1:13">
      <c r="A3" s="82">
        <f t="shared" ref="A3:A21" ca="1" si="1">ROUND(RAND()*3286+40544,0)</f>
        <v>42305</v>
      </c>
      <c r="B3" s="31">
        <f t="shared" ca="1" si="0"/>
        <v>2015</v>
      </c>
      <c r="C3" s="83"/>
      <c r="L3" s="25">
        <v>2</v>
      </c>
      <c r="M3" s="37" t="s">
        <v>72</v>
      </c>
    </row>
    <row r="4" spans="1:13">
      <c r="A4" s="82">
        <f t="shared" ca="1" si="1"/>
        <v>42597</v>
      </c>
      <c r="B4" s="31">
        <f t="shared" ca="1" si="0"/>
        <v>2016</v>
      </c>
      <c r="C4" s="83"/>
      <c r="L4" s="25">
        <v>3</v>
      </c>
      <c r="M4" s="37" t="s">
        <v>73</v>
      </c>
    </row>
    <row r="5" spans="1:13">
      <c r="A5" s="82">
        <f t="shared" ca="1" si="1"/>
        <v>43173</v>
      </c>
      <c r="B5" s="31">
        <f t="shared" ca="1" si="0"/>
        <v>2018</v>
      </c>
      <c r="C5" s="83"/>
      <c r="L5" s="25">
        <v>4</v>
      </c>
      <c r="M5" s="37" t="s">
        <v>74</v>
      </c>
    </row>
    <row r="6" spans="1:13">
      <c r="A6" s="82">
        <f t="shared" ca="1" si="1"/>
        <v>42658</v>
      </c>
      <c r="B6" s="31">
        <f t="shared" ca="1" si="0"/>
        <v>2016</v>
      </c>
      <c r="C6" s="83"/>
      <c r="L6" s="25">
        <v>5</v>
      </c>
      <c r="M6" s="37" t="s">
        <v>75</v>
      </c>
    </row>
    <row r="7" spans="1:13">
      <c r="A7" s="82">
        <f t="shared" ca="1" si="1"/>
        <v>42465</v>
      </c>
      <c r="B7" s="31">
        <f t="shared" ca="1" si="0"/>
        <v>2016</v>
      </c>
      <c r="C7" s="83"/>
      <c r="L7" s="25">
        <v>6</v>
      </c>
      <c r="M7" s="37" t="s">
        <v>76</v>
      </c>
    </row>
    <row r="8" spans="1:13">
      <c r="A8" s="82">
        <f t="shared" ca="1" si="1"/>
        <v>41934</v>
      </c>
      <c r="B8" s="31">
        <f t="shared" ca="1" si="0"/>
        <v>2014</v>
      </c>
      <c r="C8" s="83"/>
      <c r="L8" s="25">
        <v>7</v>
      </c>
      <c r="M8" s="37" t="s">
        <v>114</v>
      </c>
    </row>
    <row r="9" spans="1:13">
      <c r="A9" s="82">
        <f t="shared" ca="1" si="1"/>
        <v>41433</v>
      </c>
      <c r="B9" s="31">
        <f t="shared" ca="1" si="0"/>
        <v>2013</v>
      </c>
      <c r="C9" s="83"/>
      <c r="L9" s="25">
        <v>8</v>
      </c>
      <c r="M9" s="37" t="s">
        <v>115</v>
      </c>
    </row>
    <row r="10" spans="1:13">
      <c r="A10" s="82">
        <f t="shared" ca="1" si="1"/>
        <v>43605</v>
      </c>
      <c r="B10" s="31">
        <f t="shared" ca="1" si="0"/>
        <v>2019</v>
      </c>
      <c r="C10" s="83"/>
      <c r="L10" s="25">
        <v>9</v>
      </c>
      <c r="M10" s="37" t="s">
        <v>116</v>
      </c>
    </row>
    <row r="11" spans="1:13">
      <c r="A11" s="82">
        <f t="shared" ca="1" si="1"/>
        <v>43138</v>
      </c>
      <c r="B11" s="31">
        <f t="shared" ca="1" si="0"/>
        <v>2018</v>
      </c>
      <c r="C11" s="83"/>
      <c r="L11" s="25">
        <v>10</v>
      </c>
      <c r="M11" s="37" t="s">
        <v>117</v>
      </c>
    </row>
    <row r="12" spans="1:13">
      <c r="A12" s="82">
        <f t="shared" ca="1" si="1"/>
        <v>41695</v>
      </c>
      <c r="B12" s="31">
        <f t="shared" ca="1" si="0"/>
        <v>2014</v>
      </c>
      <c r="C12" s="83"/>
      <c r="L12" s="25">
        <v>11</v>
      </c>
      <c r="M12" s="37" t="s">
        <v>118</v>
      </c>
    </row>
    <row r="13" spans="1:13">
      <c r="A13" s="82">
        <f t="shared" ca="1" si="1"/>
        <v>43759</v>
      </c>
      <c r="B13" s="31">
        <f t="shared" ca="1" si="0"/>
        <v>2019</v>
      </c>
      <c r="C13" s="83"/>
      <c r="L13" s="25">
        <v>12</v>
      </c>
      <c r="M13" s="37" t="s">
        <v>119</v>
      </c>
    </row>
    <row r="14" spans="1:13">
      <c r="A14" s="82">
        <f t="shared" ca="1" si="1"/>
        <v>42015</v>
      </c>
      <c r="B14" s="31">
        <f t="shared" ca="1" si="0"/>
        <v>2015</v>
      </c>
      <c r="C14" s="83"/>
      <c r="L14" s="25">
        <v>13</v>
      </c>
      <c r="M14" s="37" t="s">
        <v>120</v>
      </c>
    </row>
    <row r="15" spans="1:13">
      <c r="A15" s="82">
        <f t="shared" ca="1" si="1"/>
        <v>43003</v>
      </c>
      <c r="B15" s="31">
        <f t="shared" ca="1" si="0"/>
        <v>2017</v>
      </c>
      <c r="C15" s="83"/>
      <c r="L15" s="25">
        <v>14</v>
      </c>
      <c r="M15" s="37" t="s">
        <v>121</v>
      </c>
    </row>
    <row r="16" spans="1:13">
      <c r="A16" s="82">
        <f t="shared" ca="1" si="1"/>
        <v>43105</v>
      </c>
      <c r="B16" s="31">
        <f t="shared" ca="1" si="0"/>
        <v>2018</v>
      </c>
      <c r="C16" s="83"/>
      <c r="L16" s="25">
        <v>15</v>
      </c>
      <c r="M16" s="37" t="s">
        <v>122</v>
      </c>
    </row>
    <row r="17" spans="1:13">
      <c r="A17" s="82">
        <f t="shared" ca="1" si="1"/>
        <v>41175</v>
      </c>
      <c r="B17" s="31">
        <f t="shared" ca="1" si="0"/>
        <v>2012</v>
      </c>
      <c r="C17" s="83"/>
      <c r="L17" s="25">
        <v>16</v>
      </c>
      <c r="M17" s="37" t="s">
        <v>123</v>
      </c>
    </row>
    <row r="18" spans="1:13">
      <c r="A18" s="82">
        <f t="shared" ca="1" si="1"/>
        <v>42101</v>
      </c>
      <c r="B18" s="31">
        <f t="shared" ca="1" si="0"/>
        <v>2015</v>
      </c>
      <c r="C18" s="83"/>
      <c r="L18" s="25">
        <v>17</v>
      </c>
      <c r="M18" s="37" t="s">
        <v>124</v>
      </c>
    </row>
    <row r="19" spans="1:13">
      <c r="A19" s="82">
        <f t="shared" ca="1" si="1"/>
        <v>42376</v>
      </c>
      <c r="B19" s="31">
        <f t="shared" ca="1" si="0"/>
        <v>2016</v>
      </c>
      <c r="C19" s="83"/>
      <c r="L19" s="25">
        <v>18</v>
      </c>
      <c r="M19" s="37" t="s">
        <v>125</v>
      </c>
    </row>
    <row r="20" spans="1:13">
      <c r="A20" s="82">
        <f t="shared" ca="1" si="1"/>
        <v>42919</v>
      </c>
      <c r="B20" s="31">
        <f t="shared" ca="1" si="0"/>
        <v>2017</v>
      </c>
      <c r="C20" s="83"/>
      <c r="L20" s="25">
        <v>19</v>
      </c>
      <c r="M20" s="37" t="s">
        <v>126</v>
      </c>
    </row>
    <row r="21" spans="1:13">
      <c r="A21" s="82">
        <f t="shared" ca="1" si="1"/>
        <v>43653</v>
      </c>
      <c r="B21" s="31">
        <f t="shared" ca="1" si="0"/>
        <v>2019</v>
      </c>
      <c r="C21" s="83"/>
      <c r="L21" s="25">
        <v>20</v>
      </c>
      <c r="M21" s="37" t="s">
        <v>127</v>
      </c>
    </row>
    <row r="22" spans="1:13">
      <c r="A22" s="69"/>
      <c r="B22" s="36"/>
      <c r="L22" s="25">
        <v>21</v>
      </c>
      <c r="M22" s="37" t="s">
        <v>71</v>
      </c>
    </row>
    <row r="23" spans="1:13">
      <c r="A23" s="113"/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C29" s="69"/>
      <c r="L29" s="25">
        <v>28</v>
      </c>
      <c r="M29" s="37" t="s">
        <v>115</v>
      </c>
    </row>
    <row r="30" spans="1:13">
      <c r="C30" s="69"/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F9B480CE-077C-416E-ACF9-56227F746F4A}" hiddenColumns="1">
      <selection activeCell="R36" sqref="R36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R36" sqref="R3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F16" sqref="F16"/>
    </sheetView>
  </sheetViews>
  <sheetFormatPr defaultRowHeight="12.75"/>
  <cols>
    <col min="1" max="1" width="10.140625" style="25" bestFit="1" customWidth="1"/>
    <col min="2" max="2" width="20.42578125" style="25" bestFit="1" customWidth="1"/>
    <col min="3" max="3" width="12.28515625" style="25" bestFit="1" customWidth="1"/>
    <col min="4" max="11" width="9.140625" style="25"/>
    <col min="12" max="13" width="9.140625" style="25" hidden="1" customWidth="1"/>
    <col min="14" max="16384" width="9.140625" style="25"/>
  </cols>
  <sheetData>
    <row r="1" spans="1:13">
      <c r="A1" s="29" t="s">
        <v>19</v>
      </c>
      <c r="B1" s="31" t="s">
        <v>84</v>
      </c>
      <c r="C1" s="31" t="s">
        <v>151</v>
      </c>
    </row>
    <row r="2" spans="1:13">
      <c r="A2" s="82">
        <f ca="1">ROUND(RAND()*3286+40544,0)</f>
        <v>41013</v>
      </c>
      <c r="B2" s="31">
        <f ca="1">MONTH(A2)</f>
        <v>4</v>
      </c>
      <c r="C2" s="83"/>
      <c r="L2" s="25">
        <v>1</v>
      </c>
      <c r="M2" s="37" t="s">
        <v>71</v>
      </c>
    </row>
    <row r="3" spans="1:13">
      <c r="A3" s="82">
        <f t="shared" ref="A3:A21" ca="1" si="0">ROUND(RAND()*3286+40544,0)</f>
        <v>42623</v>
      </c>
      <c r="B3" s="31">
        <f t="shared" ref="B3:B21" ca="1" si="1">MONTH(A3)</f>
        <v>9</v>
      </c>
      <c r="C3" s="83"/>
      <c r="L3" s="25">
        <v>2</v>
      </c>
      <c r="M3" s="37" t="s">
        <v>72</v>
      </c>
    </row>
    <row r="4" spans="1:13">
      <c r="A4" s="82">
        <f t="shared" ca="1" si="0"/>
        <v>42743</v>
      </c>
      <c r="B4" s="31">
        <f t="shared" ca="1" si="1"/>
        <v>1</v>
      </c>
      <c r="C4" s="83"/>
      <c r="L4" s="25">
        <v>3</v>
      </c>
      <c r="M4" s="37" t="s">
        <v>73</v>
      </c>
    </row>
    <row r="5" spans="1:13">
      <c r="A5" s="82">
        <f t="shared" ca="1" si="0"/>
        <v>41978</v>
      </c>
      <c r="B5" s="31">
        <f t="shared" ca="1" si="1"/>
        <v>12</v>
      </c>
      <c r="C5" s="83"/>
      <c r="L5" s="25">
        <v>4</v>
      </c>
      <c r="M5" s="37" t="s">
        <v>74</v>
      </c>
    </row>
    <row r="6" spans="1:13">
      <c r="A6" s="82">
        <f t="shared" ca="1" si="0"/>
        <v>43537</v>
      </c>
      <c r="B6" s="31">
        <f t="shared" ca="1" si="1"/>
        <v>3</v>
      </c>
      <c r="C6" s="83"/>
      <c r="L6" s="25">
        <v>5</v>
      </c>
      <c r="M6" s="37" t="s">
        <v>75</v>
      </c>
    </row>
    <row r="7" spans="1:13">
      <c r="A7" s="82">
        <f t="shared" ca="1" si="0"/>
        <v>40699</v>
      </c>
      <c r="B7" s="31">
        <f t="shared" ca="1" si="1"/>
        <v>6</v>
      </c>
      <c r="C7" s="83"/>
      <c r="L7" s="25">
        <v>6</v>
      </c>
      <c r="M7" s="37" t="s">
        <v>76</v>
      </c>
    </row>
    <row r="8" spans="1:13">
      <c r="A8" s="82">
        <f t="shared" ca="1" si="0"/>
        <v>43606</v>
      </c>
      <c r="B8" s="31">
        <f t="shared" ca="1" si="1"/>
        <v>5</v>
      </c>
      <c r="C8" s="83"/>
      <c r="L8" s="25">
        <v>7</v>
      </c>
      <c r="M8" s="37" t="s">
        <v>114</v>
      </c>
    </row>
    <row r="9" spans="1:13">
      <c r="A9" s="82">
        <f t="shared" ca="1" si="0"/>
        <v>42057</v>
      </c>
      <c r="B9" s="31">
        <f t="shared" ca="1" si="1"/>
        <v>2</v>
      </c>
      <c r="C9" s="83"/>
      <c r="L9" s="25">
        <v>8</v>
      </c>
      <c r="M9" s="37" t="s">
        <v>115</v>
      </c>
    </row>
    <row r="10" spans="1:13">
      <c r="A10" s="82">
        <f t="shared" ca="1" si="0"/>
        <v>43100</v>
      </c>
      <c r="B10" s="31">
        <f t="shared" ca="1" si="1"/>
        <v>12</v>
      </c>
      <c r="C10" s="83"/>
      <c r="L10" s="25">
        <v>9</v>
      </c>
      <c r="M10" s="37" t="s">
        <v>116</v>
      </c>
    </row>
    <row r="11" spans="1:13">
      <c r="A11" s="82">
        <f t="shared" ca="1" si="0"/>
        <v>42824</v>
      </c>
      <c r="B11" s="31">
        <f t="shared" ca="1" si="1"/>
        <v>3</v>
      </c>
      <c r="C11" s="83"/>
      <c r="L11" s="25">
        <v>10</v>
      </c>
      <c r="M11" s="37" t="s">
        <v>117</v>
      </c>
    </row>
    <row r="12" spans="1:13">
      <c r="A12" s="82">
        <f t="shared" ca="1" si="0"/>
        <v>42308</v>
      </c>
      <c r="B12" s="31">
        <f t="shared" ca="1" si="1"/>
        <v>10</v>
      </c>
      <c r="C12" s="83"/>
      <c r="L12" s="25">
        <v>11</v>
      </c>
      <c r="M12" s="37" t="s">
        <v>118</v>
      </c>
    </row>
    <row r="13" spans="1:13">
      <c r="A13" s="82">
        <f t="shared" ca="1" si="0"/>
        <v>42822</v>
      </c>
      <c r="B13" s="31">
        <f t="shared" ca="1" si="1"/>
        <v>3</v>
      </c>
      <c r="C13" s="83"/>
      <c r="L13" s="25">
        <v>12</v>
      </c>
      <c r="M13" s="37" t="s">
        <v>119</v>
      </c>
    </row>
    <row r="14" spans="1:13">
      <c r="A14" s="82">
        <f t="shared" ca="1" si="0"/>
        <v>40985</v>
      </c>
      <c r="B14" s="31">
        <f t="shared" ca="1" si="1"/>
        <v>3</v>
      </c>
      <c r="C14" s="83"/>
      <c r="L14" s="25">
        <v>13</v>
      </c>
      <c r="M14" s="37" t="s">
        <v>120</v>
      </c>
    </row>
    <row r="15" spans="1:13">
      <c r="A15" s="82">
        <f t="shared" ca="1" si="0"/>
        <v>41033</v>
      </c>
      <c r="B15" s="31">
        <f t="shared" ca="1" si="1"/>
        <v>5</v>
      </c>
      <c r="C15" s="83"/>
      <c r="L15" s="25">
        <v>14</v>
      </c>
      <c r="M15" s="37" t="s">
        <v>121</v>
      </c>
    </row>
    <row r="16" spans="1:13">
      <c r="A16" s="82">
        <f t="shared" ca="1" si="0"/>
        <v>42846</v>
      </c>
      <c r="B16" s="31">
        <f t="shared" ca="1" si="1"/>
        <v>4</v>
      </c>
      <c r="C16" s="83"/>
      <c r="L16" s="25">
        <v>15</v>
      </c>
      <c r="M16" s="37" t="s">
        <v>122</v>
      </c>
    </row>
    <row r="17" spans="1:13">
      <c r="A17" s="82">
        <f t="shared" ca="1" si="0"/>
        <v>41385</v>
      </c>
      <c r="B17" s="31">
        <f t="shared" ca="1" si="1"/>
        <v>4</v>
      </c>
      <c r="C17" s="83"/>
      <c r="L17" s="25">
        <v>16</v>
      </c>
      <c r="M17" s="37" t="s">
        <v>123</v>
      </c>
    </row>
    <row r="18" spans="1:13">
      <c r="A18" s="82">
        <f t="shared" ca="1" si="0"/>
        <v>40693</v>
      </c>
      <c r="B18" s="31">
        <f t="shared" ca="1" si="1"/>
        <v>5</v>
      </c>
      <c r="C18" s="83"/>
      <c r="L18" s="25">
        <v>17</v>
      </c>
      <c r="M18" s="37" t="s">
        <v>124</v>
      </c>
    </row>
    <row r="19" spans="1:13">
      <c r="A19" s="82">
        <f t="shared" ca="1" si="0"/>
        <v>43011</v>
      </c>
      <c r="B19" s="31">
        <f t="shared" ca="1" si="1"/>
        <v>10</v>
      </c>
      <c r="C19" s="83"/>
      <c r="L19" s="25">
        <v>18</v>
      </c>
      <c r="M19" s="37" t="s">
        <v>125</v>
      </c>
    </row>
    <row r="20" spans="1:13">
      <c r="A20" s="82">
        <f t="shared" ca="1" si="0"/>
        <v>41553</v>
      </c>
      <c r="B20" s="31">
        <f t="shared" ca="1" si="1"/>
        <v>10</v>
      </c>
      <c r="C20" s="83"/>
      <c r="L20" s="25">
        <v>19</v>
      </c>
      <c r="M20" s="37" t="s">
        <v>126</v>
      </c>
    </row>
    <row r="21" spans="1:13">
      <c r="A21" s="82">
        <f t="shared" ca="1" si="0"/>
        <v>41871</v>
      </c>
      <c r="B21" s="31">
        <f t="shared" ca="1" si="1"/>
        <v>8</v>
      </c>
      <c r="C21" s="83"/>
      <c r="L21" s="25">
        <v>20</v>
      </c>
      <c r="M21" s="37" t="s">
        <v>127</v>
      </c>
    </row>
    <row r="22" spans="1:13">
      <c r="B22" s="36"/>
      <c r="L22" s="25">
        <v>21</v>
      </c>
      <c r="M22" s="37" t="s">
        <v>71</v>
      </c>
    </row>
    <row r="23" spans="1:13"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C29" s="69"/>
      <c r="L29" s="25">
        <v>28</v>
      </c>
      <c r="M29" s="37" t="s">
        <v>115</v>
      </c>
    </row>
    <row r="30" spans="1:13">
      <c r="C30" s="69"/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F9B480CE-077C-416E-ACF9-56227F746F4A}" hiddenColumns="1">
      <selection activeCell="F16" sqref="F16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F16" sqref="F1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1"/>
  <sheetViews>
    <sheetView topLeftCell="A4" workbookViewId="0">
      <selection activeCell="J29" sqref="J29"/>
    </sheetView>
  </sheetViews>
  <sheetFormatPr defaultRowHeight="12.75"/>
  <cols>
    <col min="1" max="1" width="20.42578125" style="25" bestFit="1" customWidth="1"/>
    <col min="2" max="2" width="12.28515625" style="25" bestFit="1" customWidth="1"/>
    <col min="3" max="7" width="9.140625" style="25"/>
    <col min="8" max="8" width="13.28515625" style="25" bestFit="1" customWidth="1"/>
    <col min="9" max="9" width="14.7109375" style="25" bestFit="1" customWidth="1"/>
    <col min="10" max="10" width="10.7109375" style="25" bestFit="1" customWidth="1"/>
    <col min="11" max="12" width="9.140625" style="25" hidden="1" customWidth="1"/>
    <col min="13" max="16384" width="9.140625" style="25"/>
  </cols>
  <sheetData>
    <row r="1" spans="1:12">
      <c r="A1" s="31" t="s">
        <v>231</v>
      </c>
      <c r="B1" s="31" t="s">
        <v>151</v>
      </c>
    </row>
    <row r="2" spans="1:12">
      <c r="A2" s="31">
        <f ca="1">ROUND(RAND()*998+1,0)</f>
        <v>915</v>
      </c>
      <c r="B2" s="83"/>
      <c r="K2" s="25">
        <v>1</v>
      </c>
      <c r="L2" s="37" t="s">
        <v>71</v>
      </c>
    </row>
    <row r="3" spans="1:12">
      <c r="A3" s="31">
        <f t="shared" ref="A3:A21" ca="1" si="0">ROUND(RAND()*998+1,0)</f>
        <v>377</v>
      </c>
      <c r="B3" s="83"/>
      <c r="K3" s="25">
        <v>2</v>
      </c>
      <c r="L3" s="37" t="s">
        <v>72</v>
      </c>
    </row>
    <row r="4" spans="1:12">
      <c r="A4" s="31">
        <f t="shared" ca="1" si="0"/>
        <v>565</v>
      </c>
      <c r="B4" s="83"/>
      <c r="K4" s="25">
        <v>3</v>
      </c>
      <c r="L4" s="37" t="s">
        <v>73</v>
      </c>
    </row>
    <row r="5" spans="1:12">
      <c r="A5" s="31">
        <f t="shared" ca="1" si="0"/>
        <v>448</v>
      </c>
      <c r="B5" s="83"/>
      <c r="K5" s="25">
        <v>4</v>
      </c>
      <c r="L5" s="37" t="s">
        <v>74</v>
      </c>
    </row>
    <row r="6" spans="1:12">
      <c r="A6" s="31">
        <f t="shared" ca="1" si="0"/>
        <v>294</v>
      </c>
      <c r="B6" s="83"/>
      <c r="K6" s="25">
        <v>5</v>
      </c>
      <c r="L6" s="37" t="s">
        <v>75</v>
      </c>
    </row>
    <row r="7" spans="1:12">
      <c r="A7" s="31">
        <f t="shared" ca="1" si="0"/>
        <v>88</v>
      </c>
      <c r="B7" s="83"/>
      <c r="K7" s="25">
        <v>6</v>
      </c>
      <c r="L7" s="37" t="s">
        <v>76</v>
      </c>
    </row>
    <row r="8" spans="1:12">
      <c r="A8" s="31">
        <f t="shared" ca="1" si="0"/>
        <v>463</v>
      </c>
      <c r="B8" s="83"/>
      <c r="K8" s="25">
        <v>7</v>
      </c>
      <c r="L8" s="37" t="s">
        <v>114</v>
      </c>
    </row>
    <row r="9" spans="1:12">
      <c r="A9" s="31">
        <f t="shared" ca="1" si="0"/>
        <v>767</v>
      </c>
      <c r="B9" s="83"/>
      <c r="K9" s="25">
        <v>8</v>
      </c>
      <c r="L9" s="37" t="s">
        <v>115</v>
      </c>
    </row>
    <row r="10" spans="1:12">
      <c r="A10" s="31">
        <f t="shared" ca="1" si="0"/>
        <v>42</v>
      </c>
      <c r="B10" s="83"/>
      <c r="K10" s="25">
        <v>9</v>
      </c>
      <c r="L10" s="37" t="s">
        <v>116</v>
      </c>
    </row>
    <row r="11" spans="1:12">
      <c r="A11" s="31">
        <f t="shared" ca="1" si="0"/>
        <v>491</v>
      </c>
      <c r="B11" s="83"/>
      <c r="K11" s="25">
        <v>10</v>
      </c>
      <c r="L11" s="37" t="s">
        <v>117</v>
      </c>
    </row>
    <row r="12" spans="1:12">
      <c r="A12" s="31">
        <f t="shared" ca="1" si="0"/>
        <v>715</v>
      </c>
      <c r="B12" s="83"/>
      <c r="K12" s="25">
        <v>11</v>
      </c>
      <c r="L12" s="37" t="s">
        <v>118</v>
      </c>
    </row>
    <row r="13" spans="1:12">
      <c r="A13" s="31">
        <f t="shared" ca="1" si="0"/>
        <v>987</v>
      </c>
      <c r="B13" s="83"/>
      <c r="K13" s="25">
        <v>12</v>
      </c>
      <c r="L13" s="37" t="s">
        <v>119</v>
      </c>
    </row>
    <row r="14" spans="1:12">
      <c r="A14" s="31">
        <f t="shared" ca="1" si="0"/>
        <v>26</v>
      </c>
      <c r="B14" s="83"/>
      <c r="K14" s="25">
        <v>13</v>
      </c>
      <c r="L14" s="37" t="s">
        <v>120</v>
      </c>
    </row>
    <row r="15" spans="1:12">
      <c r="A15" s="31">
        <f t="shared" ca="1" si="0"/>
        <v>909</v>
      </c>
      <c r="B15" s="83"/>
      <c r="K15" s="25">
        <v>14</v>
      </c>
      <c r="L15" s="37" t="s">
        <v>121</v>
      </c>
    </row>
    <row r="16" spans="1:12">
      <c r="A16" s="31">
        <f t="shared" ca="1" si="0"/>
        <v>346</v>
      </c>
      <c r="B16" s="83"/>
      <c r="K16" s="25">
        <v>15</v>
      </c>
      <c r="L16" s="37" t="s">
        <v>122</v>
      </c>
    </row>
    <row r="17" spans="1:12">
      <c r="A17" s="31">
        <f t="shared" ca="1" si="0"/>
        <v>307</v>
      </c>
      <c r="B17" s="83"/>
      <c r="K17" s="25">
        <v>16</v>
      </c>
      <c r="L17" s="37" t="s">
        <v>123</v>
      </c>
    </row>
    <row r="18" spans="1:12">
      <c r="A18" s="31">
        <f t="shared" ca="1" si="0"/>
        <v>641</v>
      </c>
      <c r="B18" s="83"/>
      <c r="K18" s="25">
        <v>17</v>
      </c>
      <c r="L18" s="37" t="s">
        <v>124</v>
      </c>
    </row>
    <row r="19" spans="1:12" ht="13.5" thickBot="1">
      <c r="A19" s="31">
        <f t="shared" ca="1" si="0"/>
        <v>306</v>
      </c>
      <c r="B19" s="83"/>
      <c r="K19" s="25">
        <v>18</v>
      </c>
      <c r="L19" s="37" t="s">
        <v>125</v>
      </c>
    </row>
    <row r="20" spans="1:12">
      <c r="A20" s="31">
        <f t="shared" ca="1" si="0"/>
        <v>12</v>
      </c>
      <c r="B20" s="83"/>
      <c r="F20" s="117">
        <v>1</v>
      </c>
      <c r="G20" s="118" t="s">
        <v>232</v>
      </c>
      <c r="H20" s="118" t="s">
        <v>242</v>
      </c>
      <c r="I20" s="118"/>
      <c r="J20" s="119"/>
      <c r="K20" s="25">
        <v>19</v>
      </c>
      <c r="L20" s="37" t="s">
        <v>126</v>
      </c>
    </row>
    <row r="21" spans="1:12">
      <c r="A21" s="31">
        <f t="shared" ca="1" si="0"/>
        <v>238</v>
      </c>
      <c r="B21" s="83"/>
      <c r="F21" s="120">
        <v>2</v>
      </c>
      <c r="G21" s="116" t="s">
        <v>233</v>
      </c>
      <c r="H21" s="116" t="s">
        <v>243</v>
      </c>
      <c r="I21" s="116" t="s">
        <v>251</v>
      </c>
      <c r="J21" s="121" t="s">
        <v>260</v>
      </c>
      <c r="K21" s="25">
        <v>20</v>
      </c>
      <c r="L21" s="37" t="s">
        <v>127</v>
      </c>
    </row>
    <row r="22" spans="1:12">
      <c r="A22" s="36"/>
      <c r="F22" s="120">
        <v>3</v>
      </c>
      <c r="G22" s="116" t="s">
        <v>234</v>
      </c>
      <c r="H22" s="116" t="s">
        <v>244</v>
      </c>
      <c r="I22" s="116" t="s">
        <v>252</v>
      </c>
      <c r="J22" s="121" t="s">
        <v>261</v>
      </c>
      <c r="K22" s="25">
        <v>21</v>
      </c>
      <c r="L22" s="37" t="s">
        <v>71</v>
      </c>
    </row>
    <row r="23" spans="1:12">
      <c r="A23" s="36"/>
      <c r="F23" s="120">
        <v>4</v>
      </c>
      <c r="G23" s="116" t="s">
        <v>235</v>
      </c>
      <c r="H23" s="116" t="s">
        <v>245</v>
      </c>
      <c r="I23" s="116" t="s">
        <v>253</v>
      </c>
      <c r="J23" s="121" t="s">
        <v>262</v>
      </c>
      <c r="K23" s="25">
        <v>22</v>
      </c>
      <c r="L23" s="37" t="s">
        <v>72</v>
      </c>
    </row>
    <row r="24" spans="1:12">
      <c r="A24" s="36"/>
      <c r="F24" s="120">
        <v>5</v>
      </c>
      <c r="G24" s="116" t="s">
        <v>236</v>
      </c>
      <c r="H24" s="116" t="s">
        <v>246</v>
      </c>
      <c r="I24" s="116" t="s">
        <v>254</v>
      </c>
      <c r="J24" s="121" t="s">
        <v>263</v>
      </c>
      <c r="K24" s="25">
        <v>23</v>
      </c>
      <c r="L24" s="37" t="s">
        <v>73</v>
      </c>
    </row>
    <row r="25" spans="1:12">
      <c r="A25" s="36"/>
      <c r="F25" s="120">
        <v>6</v>
      </c>
      <c r="G25" s="116" t="s">
        <v>237</v>
      </c>
      <c r="H25" s="116" t="s">
        <v>247</v>
      </c>
      <c r="I25" s="116" t="s">
        <v>255</v>
      </c>
      <c r="J25" s="121" t="s">
        <v>264</v>
      </c>
      <c r="K25" s="25">
        <v>24</v>
      </c>
      <c r="L25" s="37" t="s">
        <v>74</v>
      </c>
    </row>
    <row r="26" spans="1:12">
      <c r="A26" s="36"/>
      <c r="F26" s="120">
        <v>7</v>
      </c>
      <c r="G26" s="116" t="s">
        <v>238</v>
      </c>
      <c r="H26" s="116" t="s">
        <v>248</v>
      </c>
      <c r="I26" s="116" t="s">
        <v>256</v>
      </c>
      <c r="J26" s="121" t="s">
        <v>265</v>
      </c>
      <c r="K26" s="25">
        <v>25</v>
      </c>
      <c r="L26" s="37" t="s">
        <v>75</v>
      </c>
    </row>
    <row r="27" spans="1:12">
      <c r="F27" s="120">
        <v>8</v>
      </c>
      <c r="G27" s="116" t="s">
        <v>239</v>
      </c>
      <c r="H27" s="116" t="s">
        <v>249</v>
      </c>
      <c r="I27" s="116" t="s">
        <v>257</v>
      </c>
      <c r="J27" s="121" t="s">
        <v>266</v>
      </c>
      <c r="K27" s="25">
        <v>26</v>
      </c>
      <c r="L27" s="37" t="s">
        <v>76</v>
      </c>
    </row>
    <row r="28" spans="1:12">
      <c r="F28" s="120">
        <v>9</v>
      </c>
      <c r="G28" s="116" t="s">
        <v>240</v>
      </c>
      <c r="H28" s="116" t="s">
        <v>250</v>
      </c>
      <c r="I28" s="116" t="s">
        <v>258</v>
      </c>
      <c r="J28" s="121" t="s">
        <v>267</v>
      </c>
      <c r="K28" s="25">
        <v>27</v>
      </c>
      <c r="L28" s="37" t="s">
        <v>114</v>
      </c>
    </row>
    <row r="29" spans="1:12" ht="13.5" thickBot="1">
      <c r="B29" s="69"/>
      <c r="F29" s="122">
        <v>10</v>
      </c>
      <c r="G29" s="123" t="s">
        <v>241</v>
      </c>
      <c r="H29" s="123"/>
      <c r="I29" s="123" t="s">
        <v>259</v>
      </c>
      <c r="J29" s="124"/>
      <c r="K29" s="25">
        <v>28</v>
      </c>
      <c r="L29" s="37" t="s">
        <v>115</v>
      </c>
    </row>
    <row r="30" spans="1:12">
      <c r="B30" s="69"/>
      <c r="K30" s="25">
        <v>29</v>
      </c>
      <c r="L30" s="37" t="s">
        <v>116</v>
      </c>
    </row>
    <row r="31" spans="1:12">
      <c r="K31" s="25">
        <v>30</v>
      </c>
      <c r="L31" s="37" t="s">
        <v>117</v>
      </c>
    </row>
    <row r="32" spans="1:12">
      <c r="K32" s="25">
        <v>31</v>
      </c>
      <c r="L32" s="37" t="s">
        <v>118</v>
      </c>
    </row>
    <row r="33" spans="11:12">
      <c r="K33" s="25">
        <v>32</v>
      </c>
      <c r="L33" s="37" t="s">
        <v>119</v>
      </c>
    </row>
    <row r="34" spans="11:12">
      <c r="K34" s="25">
        <v>33</v>
      </c>
      <c r="L34" s="37" t="s">
        <v>120</v>
      </c>
    </row>
    <row r="35" spans="11:12">
      <c r="K35" s="25">
        <v>34</v>
      </c>
      <c r="L35" s="37" t="s">
        <v>121</v>
      </c>
    </row>
    <row r="36" spans="11:12">
      <c r="K36" s="25">
        <v>35</v>
      </c>
      <c r="L36" s="37" t="s">
        <v>122</v>
      </c>
    </row>
    <row r="37" spans="11:12">
      <c r="K37" s="25">
        <v>36</v>
      </c>
      <c r="L37" s="37" t="s">
        <v>123</v>
      </c>
    </row>
    <row r="38" spans="11:12">
      <c r="K38" s="25">
        <v>37</v>
      </c>
      <c r="L38" s="37" t="s">
        <v>124</v>
      </c>
    </row>
    <row r="39" spans="11:12">
      <c r="K39" s="25">
        <v>38</v>
      </c>
      <c r="L39" s="37" t="s">
        <v>125</v>
      </c>
    </row>
    <row r="40" spans="11:12">
      <c r="K40" s="25">
        <v>39</v>
      </c>
      <c r="L40" s="37" t="s">
        <v>126</v>
      </c>
    </row>
    <row r="41" spans="11:12">
      <c r="K41" s="25">
        <v>40</v>
      </c>
      <c r="L41" s="37" t="s">
        <v>127</v>
      </c>
    </row>
  </sheetData>
  <customSheetViews>
    <customSheetView guid="{F9B480CE-077C-416E-ACF9-56227F746F4A}" hiddenColumns="1">
      <selection activeCell="J29" sqref="J29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J29" sqref="J2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1"/>
  <sheetViews>
    <sheetView topLeftCell="C1" workbookViewId="0">
      <selection activeCell="C1" sqref="C1"/>
    </sheetView>
  </sheetViews>
  <sheetFormatPr defaultRowHeight="12.75" customHeight="1"/>
  <cols>
    <col min="1" max="2" width="10.140625" style="25" hidden="1" customWidth="1"/>
    <col min="3" max="3" width="15" style="25" customWidth="1"/>
    <col min="4" max="4" width="12.7109375" style="25" bestFit="1" customWidth="1"/>
    <col min="5" max="5" width="21.85546875" style="25" customWidth="1"/>
    <col min="6" max="8" width="9.140625" style="25"/>
    <col min="9" max="9" width="9.140625" style="25" hidden="1" customWidth="1"/>
    <col min="10" max="10" width="3.140625" style="25" bestFit="1" customWidth="1"/>
    <col min="11" max="11" width="28" style="25" customWidth="1"/>
    <col min="12" max="16384" width="9.140625" style="25"/>
  </cols>
  <sheetData>
    <row r="1" spans="1:11" ht="12.75" customHeight="1" thickBot="1">
      <c r="C1" s="29" t="s">
        <v>273</v>
      </c>
      <c r="D1" s="29" t="s">
        <v>181</v>
      </c>
      <c r="E1" s="31" t="s">
        <v>180</v>
      </c>
    </row>
    <row r="2" spans="1:11" ht="12.75" customHeight="1" thickBot="1">
      <c r="A2" s="88">
        <f ca="1">ROUND(RAND()*15+1,0)</f>
        <v>8</v>
      </c>
      <c r="B2" s="88">
        <f ca="1">ROUND(RAND()*15+1,0)</f>
        <v>9</v>
      </c>
      <c r="C2" s="82" t="str">
        <f ca="1">VLOOKUP(A2,$I$2:$J$17,2)&amp;VLOOKUP(B2,$I$2:$J$17,2)&amp;" "&amp;ROUND(RAND()*89999+10000,0)</f>
        <v>LN 30102</v>
      </c>
      <c r="D2" s="82" t="str">
        <f ca="1">MID(C2,1,1)</f>
        <v>L</v>
      </c>
      <c r="E2" s="83"/>
      <c r="I2" s="25">
        <v>1</v>
      </c>
      <c r="J2" s="84" t="s">
        <v>65</v>
      </c>
      <c r="K2" s="85" t="s">
        <v>152</v>
      </c>
    </row>
    <row r="3" spans="1:11" ht="12.75" customHeight="1" thickBot="1">
      <c r="A3" s="88">
        <f t="shared" ref="A3:B21" ca="1" si="0">ROUND(RAND()*15+1,0)</f>
        <v>12</v>
      </c>
      <c r="B3" s="88">
        <f t="shared" ca="1" si="0"/>
        <v>2</v>
      </c>
      <c r="C3" s="82" t="str">
        <f t="shared" ref="C3:C21" ca="1" si="1">VLOOKUP(A3,$I$2:$J$17,2)&amp;VLOOKUP(B3,$I$2:$J$17,2)&amp;" "&amp;ROUND(RAND()*89999+10000,0)</f>
        <v>RC 44550</v>
      </c>
      <c r="D3" s="82" t="str">
        <f t="shared" ref="D3:D21" ca="1" si="2">MID(C3,1,1)</f>
        <v>R</v>
      </c>
      <c r="E3" s="83"/>
      <c r="I3" s="25">
        <v>2</v>
      </c>
      <c r="J3" s="86" t="s">
        <v>66</v>
      </c>
      <c r="K3" s="87" t="s">
        <v>153</v>
      </c>
    </row>
    <row r="4" spans="1:11" ht="12.75" customHeight="1" thickBot="1">
      <c r="A4" s="88">
        <f t="shared" ca="1" si="0"/>
        <v>13</v>
      </c>
      <c r="B4" s="88">
        <f t="shared" ca="1" si="0"/>
        <v>10</v>
      </c>
      <c r="C4" s="82" t="str">
        <f t="shared" ca="1" si="1"/>
        <v>SO 39144</v>
      </c>
      <c r="D4" s="82" t="str">
        <f t="shared" ca="1" si="2"/>
        <v>S</v>
      </c>
      <c r="E4" s="83"/>
      <c r="I4" s="25">
        <v>3</v>
      </c>
      <c r="J4" s="86" t="s">
        <v>67</v>
      </c>
      <c r="K4" s="87" t="s">
        <v>154</v>
      </c>
    </row>
    <row r="5" spans="1:11" ht="12.75" customHeight="1" thickBot="1">
      <c r="A5" s="88">
        <f t="shared" ca="1" si="0"/>
        <v>3</v>
      </c>
      <c r="B5" s="88">
        <f t="shared" ca="1" si="0"/>
        <v>13</v>
      </c>
      <c r="C5" s="82" t="str">
        <f t="shared" ca="1" si="1"/>
        <v>DS 79084</v>
      </c>
      <c r="D5" s="82" t="str">
        <f t="shared" ca="1" si="2"/>
        <v>D</v>
      </c>
      <c r="E5" s="83"/>
      <c r="I5" s="25">
        <v>4</v>
      </c>
      <c r="J5" s="86" t="s">
        <v>155</v>
      </c>
      <c r="K5" s="87" t="s">
        <v>156</v>
      </c>
    </row>
    <row r="6" spans="1:11" ht="12.75" customHeight="1" thickBot="1">
      <c r="A6" s="88">
        <f t="shared" ca="1" si="0"/>
        <v>6</v>
      </c>
      <c r="B6" s="88">
        <f t="shared" ca="1" si="0"/>
        <v>14</v>
      </c>
      <c r="C6" s="82" t="str">
        <f t="shared" ca="1" si="1"/>
        <v>GT 82611</v>
      </c>
      <c r="D6" s="82" t="str">
        <f t="shared" ca="1" si="2"/>
        <v>G</v>
      </c>
      <c r="E6" s="83"/>
      <c r="I6" s="25">
        <v>5</v>
      </c>
      <c r="J6" s="86" t="s">
        <v>157</v>
      </c>
      <c r="K6" s="87" t="s">
        <v>158</v>
      </c>
    </row>
    <row r="7" spans="1:11" ht="12.75" customHeight="1" thickBot="1">
      <c r="A7" s="88">
        <f t="shared" ca="1" si="0"/>
        <v>11</v>
      </c>
      <c r="B7" s="88">
        <f t="shared" ca="1" si="0"/>
        <v>16</v>
      </c>
      <c r="C7" s="82" t="str">
        <f t="shared" ca="1" si="1"/>
        <v>PZ 68112</v>
      </c>
      <c r="D7" s="82" t="str">
        <f t="shared" ca="1" si="2"/>
        <v>P</v>
      </c>
      <c r="E7" s="83"/>
      <c r="I7" s="25">
        <v>6</v>
      </c>
      <c r="J7" s="86" t="s">
        <v>159</v>
      </c>
      <c r="K7" s="87" t="s">
        <v>160</v>
      </c>
    </row>
    <row r="8" spans="1:11" ht="12.75" customHeight="1" thickBot="1">
      <c r="A8" s="88">
        <f t="shared" ca="1" si="0"/>
        <v>16</v>
      </c>
      <c r="B8" s="88">
        <f t="shared" ca="1" si="0"/>
        <v>12</v>
      </c>
      <c r="C8" s="82" t="str">
        <f t="shared" ca="1" si="1"/>
        <v>ZR 33424</v>
      </c>
      <c r="D8" s="82" t="str">
        <f t="shared" ca="1" si="2"/>
        <v>Z</v>
      </c>
      <c r="E8" s="83"/>
      <c r="I8" s="25">
        <v>7</v>
      </c>
      <c r="J8" s="86" t="s">
        <v>161</v>
      </c>
      <c r="K8" s="87" t="s">
        <v>162</v>
      </c>
    </row>
    <row r="9" spans="1:11" ht="12.75" customHeight="1" thickBot="1">
      <c r="A9" s="88">
        <f t="shared" ca="1" si="0"/>
        <v>12</v>
      </c>
      <c r="B9" s="88">
        <f t="shared" ca="1" si="0"/>
        <v>2</v>
      </c>
      <c r="C9" s="82" t="str">
        <f t="shared" ca="1" si="1"/>
        <v>RC 59458</v>
      </c>
      <c r="D9" s="82" t="str">
        <f t="shared" ca="1" si="2"/>
        <v>R</v>
      </c>
      <c r="E9" s="83"/>
      <c r="I9" s="25">
        <v>8</v>
      </c>
      <c r="J9" s="86" t="s">
        <v>163</v>
      </c>
      <c r="K9" s="87" t="s">
        <v>164</v>
      </c>
    </row>
    <row r="10" spans="1:11" ht="12.75" customHeight="1" thickBot="1">
      <c r="A10" s="88">
        <f t="shared" ca="1" si="0"/>
        <v>3</v>
      </c>
      <c r="B10" s="88">
        <f t="shared" ca="1" si="0"/>
        <v>2</v>
      </c>
      <c r="C10" s="82" t="str">
        <f t="shared" ca="1" si="1"/>
        <v>DC 49941</v>
      </c>
      <c r="D10" s="82" t="str">
        <f t="shared" ca="1" si="2"/>
        <v>D</v>
      </c>
      <c r="E10" s="83"/>
      <c r="I10" s="25">
        <v>9</v>
      </c>
      <c r="J10" s="86" t="s">
        <v>165</v>
      </c>
      <c r="K10" s="87" t="s">
        <v>166</v>
      </c>
    </row>
    <row r="11" spans="1:11" ht="12.75" customHeight="1" thickBot="1">
      <c r="A11" s="88">
        <f t="shared" ca="1" si="0"/>
        <v>6</v>
      </c>
      <c r="B11" s="88">
        <f t="shared" ca="1" si="0"/>
        <v>5</v>
      </c>
      <c r="C11" s="82" t="str">
        <f t="shared" ca="1" si="1"/>
        <v>GF 61542</v>
      </c>
      <c r="D11" s="82" t="str">
        <f t="shared" ca="1" si="2"/>
        <v>G</v>
      </c>
      <c r="E11" s="83"/>
      <c r="I11" s="25">
        <v>10</v>
      </c>
      <c r="J11" s="86" t="s">
        <v>167</v>
      </c>
      <c r="K11" s="87" t="s">
        <v>168</v>
      </c>
    </row>
    <row r="12" spans="1:11" ht="12.75" customHeight="1" thickBot="1">
      <c r="A12" s="88">
        <f t="shared" ca="1" si="0"/>
        <v>3</v>
      </c>
      <c r="B12" s="88">
        <f t="shared" ca="1" si="0"/>
        <v>3</v>
      </c>
      <c r="C12" s="82" t="str">
        <f t="shared" ca="1" si="1"/>
        <v>DD 73766</v>
      </c>
      <c r="D12" s="82" t="str">
        <f t="shared" ca="1" si="2"/>
        <v>D</v>
      </c>
      <c r="E12" s="83"/>
      <c r="I12" s="25">
        <v>11</v>
      </c>
      <c r="J12" s="86" t="s">
        <v>169</v>
      </c>
      <c r="K12" s="87" t="s">
        <v>170</v>
      </c>
    </row>
    <row r="13" spans="1:11" ht="12.75" customHeight="1" thickBot="1">
      <c r="A13" s="88">
        <f t="shared" ca="1" si="0"/>
        <v>15</v>
      </c>
      <c r="B13" s="88">
        <f t="shared" ca="1" si="0"/>
        <v>14</v>
      </c>
      <c r="C13" s="82" t="str">
        <f t="shared" ca="1" si="1"/>
        <v>WT 40672</v>
      </c>
      <c r="D13" s="82" t="str">
        <f t="shared" ca="1" si="2"/>
        <v>W</v>
      </c>
      <c r="E13" s="83"/>
      <c r="I13" s="25">
        <v>12</v>
      </c>
      <c r="J13" s="86" t="s">
        <v>171</v>
      </c>
      <c r="K13" s="87" t="s">
        <v>172</v>
      </c>
    </row>
    <row r="14" spans="1:11" ht="12.75" customHeight="1" thickBot="1">
      <c r="A14" s="88">
        <f t="shared" ca="1" si="0"/>
        <v>9</v>
      </c>
      <c r="B14" s="88">
        <f t="shared" ca="1" si="0"/>
        <v>2</v>
      </c>
      <c r="C14" s="82" t="str">
        <f t="shared" ca="1" si="1"/>
        <v>NC 28930</v>
      </c>
      <c r="D14" s="82" t="str">
        <f t="shared" ca="1" si="2"/>
        <v>N</v>
      </c>
      <c r="E14" s="83"/>
      <c r="I14" s="25">
        <v>13</v>
      </c>
      <c r="J14" s="86" t="s">
        <v>173</v>
      </c>
      <c r="K14" s="87" t="s">
        <v>174</v>
      </c>
    </row>
    <row r="15" spans="1:11" ht="12.75" customHeight="1" thickBot="1">
      <c r="A15" s="88">
        <f t="shared" ca="1" si="0"/>
        <v>11</v>
      </c>
      <c r="B15" s="88">
        <f t="shared" ca="1" si="0"/>
        <v>6</v>
      </c>
      <c r="C15" s="82" t="str">
        <f t="shared" ca="1" si="1"/>
        <v>PG 18190</v>
      </c>
      <c r="D15" s="82" t="str">
        <f t="shared" ca="1" si="2"/>
        <v>P</v>
      </c>
      <c r="E15" s="83"/>
      <c r="I15" s="25">
        <v>14</v>
      </c>
      <c r="J15" s="86" t="s">
        <v>141</v>
      </c>
      <c r="K15" s="87" t="s">
        <v>175</v>
      </c>
    </row>
    <row r="16" spans="1:11" ht="12.75" customHeight="1" thickBot="1">
      <c r="A16" s="88">
        <f t="shared" ca="1" si="0"/>
        <v>7</v>
      </c>
      <c r="B16" s="88">
        <f t="shared" ca="1" si="0"/>
        <v>12</v>
      </c>
      <c r="C16" s="82" t="str">
        <f t="shared" ca="1" si="1"/>
        <v>KR 27968</v>
      </c>
      <c r="D16" s="82" t="str">
        <f t="shared" ca="1" si="2"/>
        <v>K</v>
      </c>
      <c r="E16" s="83"/>
      <c r="I16" s="25">
        <v>15</v>
      </c>
      <c r="J16" s="86" t="s">
        <v>176</v>
      </c>
      <c r="K16" s="87" t="s">
        <v>177</v>
      </c>
    </row>
    <row r="17" spans="1:11" ht="12.75" customHeight="1" thickBot="1">
      <c r="A17" s="88">
        <f t="shared" ca="1" si="0"/>
        <v>8</v>
      </c>
      <c r="B17" s="88">
        <f t="shared" ca="1" si="0"/>
        <v>6</v>
      </c>
      <c r="C17" s="82" t="str">
        <f t="shared" ca="1" si="1"/>
        <v>LG 41002</v>
      </c>
      <c r="D17" s="82" t="str">
        <f t="shared" ca="1" si="2"/>
        <v>L</v>
      </c>
      <c r="E17" s="83"/>
      <c r="I17" s="25">
        <v>16</v>
      </c>
      <c r="J17" s="86" t="s">
        <v>178</v>
      </c>
      <c r="K17" s="87" t="s">
        <v>179</v>
      </c>
    </row>
    <row r="18" spans="1:11" ht="12.75" customHeight="1">
      <c r="A18" s="88">
        <f t="shared" ca="1" si="0"/>
        <v>13</v>
      </c>
      <c r="B18" s="88">
        <f t="shared" ca="1" si="0"/>
        <v>9</v>
      </c>
      <c r="C18" s="82" t="str">
        <f t="shared" ca="1" si="1"/>
        <v>SN 44412</v>
      </c>
      <c r="D18" s="82" t="str">
        <f t="shared" ca="1" si="2"/>
        <v>S</v>
      </c>
      <c r="E18" s="83"/>
    </row>
    <row r="19" spans="1:11" ht="12.75" customHeight="1">
      <c r="A19" s="88">
        <f t="shared" ca="1" si="0"/>
        <v>9</v>
      </c>
      <c r="B19" s="88">
        <f t="shared" ca="1" si="0"/>
        <v>16</v>
      </c>
      <c r="C19" s="82" t="str">
        <f t="shared" ca="1" si="1"/>
        <v>NZ 77019</v>
      </c>
      <c r="D19" s="82" t="str">
        <f t="shared" ca="1" si="2"/>
        <v>N</v>
      </c>
      <c r="E19" s="83"/>
    </row>
    <row r="20" spans="1:11" ht="12.75" customHeight="1">
      <c r="A20" s="88">
        <f t="shared" ca="1" si="0"/>
        <v>1</v>
      </c>
      <c r="B20" s="88">
        <f t="shared" ca="1" si="0"/>
        <v>5</v>
      </c>
      <c r="C20" s="82" t="str">
        <f t="shared" ca="1" si="1"/>
        <v>BF 99484</v>
      </c>
      <c r="D20" s="82" t="str">
        <f t="shared" ca="1" si="2"/>
        <v>B</v>
      </c>
      <c r="E20" s="83"/>
    </row>
    <row r="21" spans="1:11" ht="12.75" customHeight="1">
      <c r="A21" s="88">
        <f t="shared" ca="1" si="0"/>
        <v>6</v>
      </c>
      <c r="B21" s="88">
        <f t="shared" ca="1" si="0"/>
        <v>2</v>
      </c>
      <c r="C21" s="82" t="str">
        <f t="shared" ca="1" si="1"/>
        <v>GC 29907</v>
      </c>
      <c r="D21" s="82" t="str">
        <f t="shared" ca="1" si="2"/>
        <v>G</v>
      </c>
      <c r="E21" s="83"/>
    </row>
  </sheetData>
  <customSheetViews>
    <customSheetView guid="{F9B480CE-077C-416E-ACF9-56227F746F4A}" hiddenColumns="1" topLeftCell="C1">
      <selection activeCell="C1" sqref="C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C1">
      <selection activeCell="C1" sqref="C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5"/>
  <sheetViews>
    <sheetView topLeftCell="B10" workbookViewId="0">
      <selection activeCell="J11" sqref="J11"/>
    </sheetView>
  </sheetViews>
  <sheetFormatPr defaultRowHeight="12.75" customHeight="1"/>
  <cols>
    <col min="1" max="1" width="6.28515625" style="25" hidden="1" customWidth="1"/>
    <col min="2" max="2" width="15" style="25" customWidth="1"/>
    <col min="3" max="3" width="12.7109375" style="25" bestFit="1" customWidth="1"/>
    <col min="4" max="4" width="24.5703125" style="25" bestFit="1" customWidth="1"/>
    <col min="5" max="7" width="9.140625" style="25"/>
    <col min="8" max="8" width="4.28515625" style="25" hidden="1" customWidth="1"/>
    <col min="9" max="9" width="3.140625" style="25" bestFit="1" customWidth="1"/>
    <col min="10" max="10" width="28" style="25" customWidth="1"/>
    <col min="11" max="16384" width="9.140625" style="25"/>
  </cols>
  <sheetData>
    <row r="1" spans="1:10" ht="12.75" customHeight="1">
      <c r="B1" s="29" t="s">
        <v>182</v>
      </c>
      <c r="C1" s="29" t="s">
        <v>183</v>
      </c>
      <c r="D1" s="31" t="s">
        <v>186</v>
      </c>
    </row>
    <row r="2" spans="1:10" ht="12.75" customHeight="1">
      <c r="A2" s="88">
        <f ca="1">ROUND(RAND()*9+1,0)</f>
        <v>4</v>
      </c>
      <c r="B2" s="27" t="s">
        <v>54</v>
      </c>
      <c r="C2" s="82" t="str">
        <f ca="1">VLOOKUP(A2,$H$2:$I$11,2)</f>
        <v>M</v>
      </c>
      <c r="D2" s="83"/>
      <c r="H2" s="25">
        <v>1</v>
      </c>
      <c r="I2" s="92" t="s">
        <v>157</v>
      </c>
      <c r="J2" s="93" t="s">
        <v>221</v>
      </c>
    </row>
    <row r="3" spans="1:10" ht="12.75" customHeight="1">
      <c r="A3" s="88">
        <f t="shared" ref="A3:A25" ca="1" si="0">ROUND(RAND()*9+1,0)</f>
        <v>5</v>
      </c>
      <c r="B3" s="27" t="s">
        <v>55</v>
      </c>
      <c r="C3" s="82" t="str">
        <f t="shared" ref="C3:C25" ca="1" si="1">VLOOKUP(A3,$H$2:$I$11,2)</f>
        <v>N</v>
      </c>
      <c r="D3" s="83"/>
      <c r="H3" s="25">
        <v>2</v>
      </c>
      <c r="I3" s="92" t="s">
        <v>159</v>
      </c>
      <c r="J3" s="93" t="s">
        <v>222</v>
      </c>
    </row>
    <row r="4" spans="1:10" ht="12.75" customHeight="1">
      <c r="A4" s="88">
        <f t="shared" ca="1" si="0"/>
        <v>4</v>
      </c>
      <c r="B4" s="27" t="s">
        <v>56</v>
      </c>
      <c r="C4" s="82" t="str">
        <f t="shared" ca="1" si="1"/>
        <v>M</v>
      </c>
      <c r="D4" s="83"/>
      <c r="H4" s="25">
        <v>3</v>
      </c>
      <c r="I4" s="92" t="s">
        <v>161</v>
      </c>
      <c r="J4" s="93" t="s">
        <v>223</v>
      </c>
    </row>
    <row r="5" spans="1:10" ht="12.75" customHeight="1">
      <c r="A5" s="88">
        <f t="shared" ca="1" si="0"/>
        <v>8</v>
      </c>
      <c r="B5" s="27" t="s">
        <v>57</v>
      </c>
      <c r="C5" s="82" t="str">
        <f t="shared" ca="1" si="1"/>
        <v>S</v>
      </c>
      <c r="D5" s="83"/>
      <c r="H5" s="25">
        <v>4</v>
      </c>
      <c r="I5" s="92" t="s">
        <v>184</v>
      </c>
      <c r="J5" s="93" t="s">
        <v>224</v>
      </c>
    </row>
    <row r="6" spans="1:10" ht="12.75" customHeight="1">
      <c r="A6" s="88">
        <f t="shared" ca="1" si="0"/>
        <v>3</v>
      </c>
      <c r="B6" s="27" t="s">
        <v>58</v>
      </c>
      <c r="C6" s="82" t="str">
        <f t="shared" ca="1" si="1"/>
        <v>K</v>
      </c>
      <c r="D6" s="83"/>
      <c r="H6" s="25">
        <v>5</v>
      </c>
      <c r="I6" s="92" t="s">
        <v>165</v>
      </c>
      <c r="J6" s="93" t="s">
        <v>225</v>
      </c>
    </row>
    <row r="7" spans="1:10" ht="12.75" customHeight="1">
      <c r="A7" s="88">
        <f t="shared" ca="1" si="0"/>
        <v>2</v>
      </c>
      <c r="B7" s="27" t="s">
        <v>59</v>
      </c>
      <c r="C7" s="82" t="str">
        <f t="shared" ca="1" si="1"/>
        <v>G</v>
      </c>
      <c r="D7" s="83"/>
      <c r="H7" s="25">
        <v>6</v>
      </c>
      <c r="I7" s="92" t="s">
        <v>169</v>
      </c>
      <c r="J7" s="93" t="s">
        <v>226</v>
      </c>
    </row>
    <row r="8" spans="1:10" ht="12.75" customHeight="1">
      <c r="A8" s="88">
        <f t="shared" ca="1" si="0"/>
        <v>7</v>
      </c>
      <c r="B8" s="27" t="s">
        <v>60</v>
      </c>
      <c r="C8" s="82" t="str">
        <f t="shared" ca="1" si="1"/>
        <v>R</v>
      </c>
      <c r="D8" s="83"/>
      <c r="H8" s="25">
        <v>7</v>
      </c>
      <c r="I8" s="92" t="s">
        <v>171</v>
      </c>
      <c r="J8" s="93" t="s">
        <v>227</v>
      </c>
    </row>
    <row r="9" spans="1:10" ht="12.75" customHeight="1">
      <c r="A9" s="88">
        <f t="shared" ca="1" si="0"/>
        <v>7</v>
      </c>
      <c r="B9" s="27" t="s">
        <v>61</v>
      </c>
      <c r="C9" s="82" t="str">
        <f t="shared" ca="1" si="1"/>
        <v>R</v>
      </c>
      <c r="D9" s="83"/>
      <c r="H9" s="25">
        <v>8</v>
      </c>
      <c r="I9" s="92" t="s">
        <v>173</v>
      </c>
      <c r="J9" s="93" t="s">
        <v>228</v>
      </c>
    </row>
    <row r="10" spans="1:10" ht="12.75" customHeight="1">
      <c r="A10" s="88">
        <f t="shared" ca="1" si="0"/>
        <v>2</v>
      </c>
      <c r="B10" s="27" t="s">
        <v>62</v>
      </c>
      <c r="C10" s="82" t="str">
        <f t="shared" ca="1" si="1"/>
        <v>G</v>
      </c>
      <c r="D10" s="83"/>
      <c r="H10" s="25">
        <v>9</v>
      </c>
      <c r="I10" s="92" t="s">
        <v>185</v>
      </c>
      <c r="J10" s="93" t="s">
        <v>229</v>
      </c>
    </row>
    <row r="11" spans="1:10" ht="12.75" customHeight="1">
      <c r="A11" s="88">
        <f t="shared" ca="1" si="0"/>
        <v>10</v>
      </c>
      <c r="B11" s="27" t="s">
        <v>63</v>
      </c>
      <c r="C11" s="82" t="str">
        <f t="shared" ca="1" si="1"/>
        <v>W</v>
      </c>
      <c r="D11" s="83"/>
      <c r="H11" s="25">
        <v>10</v>
      </c>
      <c r="I11" s="92" t="s">
        <v>176</v>
      </c>
      <c r="J11" s="93" t="s">
        <v>279</v>
      </c>
    </row>
    <row r="12" spans="1:10" ht="12.75" customHeight="1">
      <c r="A12" s="88">
        <f t="shared" ca="1" si="0"/>
        <v>7</v>
      </c>
      <c r="B12" s="27" t="s">
        <v>64</v>
      </c>
      <c r="C12" s="82" t="str">
        <f t="shared" ca="1" si="1"/>
        <v>R</v>
      </c>
      <c r="D12" s="83"/>
      <c r="H12" s="89"/>
      <c r="I12" s="90"/>
      <c r="J12" s="91"/>
    </row>
    <row r="13" spans="1:10" ht="12.75" customHeight="1">
      <c r="A13" s="88">
        <f t="shared" ca="1" si="0"/>
        <v>4</v>
      </c>
      <c r="B13" s="27" t="s">
        <v>97</v>
      </c>
      <c r="C13" s="82" t="str">
        <f t="shared" ca="1" si="1"/>
        <v>M</v>
      </c>
      <c r="D13" s="83"/>
      <c r="H13" s="89"/>
      <c r="I13" s="90"/>
      <c r="J13" s="91"/>
    </row>
    <row r="14" spans="1:10" ht="12.75" customHeight="1">
      <c r="A14" s="88">
        <f t="shared" ca="1" si="0"/>
        <v>9</v>
      </c>
      <c r="B14" s="27" t="s">
        <v>98</v>
      </c>
      <c r="C14" s="82" t="str">
        <f t="shared" ca="1" si="1"/>
        <v>U</v>
      </c>
      <c r="D14" s="83"/>
      <c r="H14" s="89"/>
      <c r="I14" s="90"/>
      <c r="J14" s="91"/>
    </row>
    <row r="15" spans="1:10" ht="12.75" customHeight="1">
      <c r="A15" s="88">
        <f t="shared" ca="1" si="0"/>
        <v>7</v>
      </c>
      <c r="B15" s="27" t="s">
        <v>99</v>
      </c>
      <c r="C15" s="82" t="str">
        <f t="shared" ca="1" si="1"/>
        <v>R</v>
      </c>
      <c r="D15" s="83"/>
      <c r="H15" s="89"/>
      <c r="I15" s="90"/>
      <c r="J15" s="91"/>
    </row>
    <row r="16" spans="1:10" ht="12.75" customHeight="1">
      <c r="A16" s="88">
        <f t="shared" ca="1" si="0"/>
        <v>9</v>
      </c>
      <c r="B16" s="27" t="s">
        <v>100</v>
      </c>
      <c r="C16" s="82" t="str">
        <f t="shared" ca="1" si="1"/>
        <v>U</v>
      </c>
      <c r="D16" s="83"/>
      <c r="H16" s="89"/>
      <c r="I16" s="90"/>
      <c r="J16" s="91"/>
    </row>
    <row r="17" spans="1:10" ht="12.75" customHeight="1">
      <c r="A17" s="88">
        <f t="shared" ca="1" si="0"/>
        <v>6</v>
      </c>
      <c r="B17" s="27" t="s">
        <v>101</v>
      </c>
      <c r="C17" s="82" t="str">
        <f t="shared" ca="1" si="1"/>
        <v>P</v>
      </c>
      <c r="D17" s="83"/>
      <c r="H17" s="89"/>
      <c r="I17" s="90"/>
      <c r="J17" s="91"/>
    </row>
    <row r="18" spans="1:10" ht="12.75" customHeight="1">
      <c r="A18" s="88">
        <f t="shared" ca="1" si="0"/>
        <v>4</v>
      </c>
      <c r="B18" s="27" t="s">
        <v>102</v>
      </c>
      <c r="C18" s="82" t="str">
        <f t="shared" ca="1" si="1"/>
        <v>M</v>
      </c>
      <c r="D18" s="83"/>
    </row>
    <row r="19" spans="1:10" ht="12.75" customHeight="1">
      <c r="A19" s="88">
        <f t="shared" ca="1" si="0"/>
        <v>4</v>
      </c>
      <c r="B19" s="27" t="s">
        <v>103</v>
      </c>
      <c r="C19" s="82" t="str">
        <f t="shared" ca="1" si="1"/>
        <v>M</v>
      </c>
      <c r="D19" s="83"/>
    </row>
    <row r="20" spans="1:10" ht="12.75" customHeight="1">
      <c r="A20" s="88">
        <f t="shared" ca="1" si="0"/>
        <v>7</v>
      </c>
      <c r="B20" s="27" t="s">
        <v>104</v>
      </c>
      <c r="C20" s="82" t="str">
        <f t="shared" ca="1" si="1"/>
        <v>R</v>
      </c>
      <c r="D20" s="83"/>
    </row>
    <row r="21" spans="1:10" ht="12.75" customHeight="1">
      <c r="A21" s="88">
        <f t="shared" ca="1" si="0"/>
        <v>3</v>
      </c>
      <c r="B21" s="27" t="s">
        <v>105</v>
      </c>
      <c r="C21" s="82" t="str">
        <f t="shared" ca="1" si="1"/>
        <v>K</v>
      </c>
      <c r="D21" s="83"/>
    </row>
    <row r="22" spans="1:10" ht="12.75" customHeight="1">
      <c r="A22" s="88">
        <f t="shared" ca="1" si="0"/>
        <v>8</v>
      </c>
      <c r="B22" s="27" t="s">
        <v>106</v>
      </c>
      <c r="C22" s="82" t="str">
        <f t="shared" ca="1" si="1"/>
        <v>S</v>
      </c>
      <c r="D22" s="83"/>
    </row>
    <row r="23" spans="1:10" ht="12.75" customHeight="1">
      <c r="A23" s="88">
        <f t="shared" ca="1" si="0"/>
        <v>1</v>
      </c>
      <c r="B23" s="27" t="s">
        <v>107</v>
      </c>
      <c r="C23" s="82" t="str">
        <f t="shared" ca="1" si="1"/>
        <v>F</v>
      </c>
      <c r="D23" s="83"/>
    </row>
    <row r="24" spans="1:10" ht="12.75" customHeight="1">
      <c r="A24" s="88">
        <f t="shared" ca="1" si="0"/>
        <v>10</v>
      </c>
      <c r="B24" s="27" t="s">
        <v>108</v>
      </c>
      <c r="C24" s="82" t="str">
        <f t="shared" ca="1" si="1"/>
        <v>W</v>
      </c>
      <c r="D24" s="83"/>
    </row>
    <row r="25" spans="1:10" ht="12.75" customHeight="1">
      <c r="A25" s="88">
        <f t="shared" ca="1" si="0"/>
        <v>7</v>
      </c>
      <c r="B25" s="27" t="s">
        <v>109</v>
      </c>
      <c r="C25" s="82" t="str">
        <f t="shared" ca="1" si="1"/>
        <v>R</v>
      </c>
      <c r="D25" s="83"/>
    </row>
  </sheetData>
  <sortState ref="I2:J11">
    <sortCondition ref="I2:I11"/>
  </sortState>
  <customSheetViews>
    <customSheetView guid="{F9B480CE-077C-416E-ACF9-56227F746F4A}" hiddenColumns="1" topLeftCell="B1">
      <selection activeCell="J11" sqref="J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J11" sqref="J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5"/>
  <sheetViews>
    <sheetView topLeftCell="B1" workbookViewId="0">
      <selection activeCell="I11" sqref="I11"/>
    </sheetView>
  </sheetViews>
  <sheetFormatPr defaultRowHeight="12.75" customHeight="1"/>
  <cols>
    <col min="1" max="1" width="6.28515625" style="25" hidden="1" customWidth="1"/>
    <col min="2" max="2" width="15" style="25" customWidth="1"/>
    <col min="3" max="3" width="12.7109375" style="25" bestFit="1" customWidth="1"/>
    <col min="4" max="6" width="9.140625" style="25"/>
    <col min="7" max="7" width="4.28515625" style="25" hidden="1" customWidth="1"/>
    <col min="8" max="8" width="3.140625" style="25" bestFit="1" customWidth="1"/>
    <col min="9" max="9" width="28" style="25" customWidth="1"/>
    <col min="10" max="10" width="15.7109375" style="25" bestFit="1" customWidth="1"/>
    <col min="11" max="16384" width="9.140625" style="25"/>
  </cols>
  <sheetData>
    <row r="1" spans="1:10" ht="12.75" customHeight="1">
      <c r="B1" s="29" t="s">
        <v>182</v>
      </c>
      <c r="C1" s="29" t="s">
        <v>183</v>
      </c>
      <c r="J1" s="29" t="s">
        <v>230</v>
      </c>
    </row>
    <row r="2" spans="1:10" ht="12.75" customHeight="1">
      <c r="A2" s="88">
        <f ca="1">ROUND(RAND()*9+1,0)</f>
        <v>10</v>
      </c>
      <c r="B2" s="27" t="s">
        <v>54</v>
      </c>
      <c r="C2" s="82" t="str">
        <f ca="1">VLOOKUP(A2,$G$2:$H$11,2)</f>
        <v>W</v>
      </c>
      <c r="G2" s="25">
        <v>1</v>
      </c>
      <c r="H2" s="92" t="s">
        <v>157</v>
      </c>
      <c r="I2" s="114" t="s">
        <v>221</v>
      </c>
      <c r="J2" s="115"/>
    </row>
    <row r="3" spans="1:10" ht="12.75" customHeight="1">
      <c r="A3" s="88">
        <f t="shared" ref="A3:A25" ca="1" si="0">ROUND(RAND()*9+1,0)</f>
        <v>8</v>
      </c>
      <c r="B3" s="27" t="s">
        <v>55</v>
      </c>
      <c r="C3" s="82" t="str">
        <f t="shared" ref="C3:C25" ca="1" si="1">VLOOKUP(A3,$G$2:$H$11,2)</f>
        <v>S</v>
      </c>
      <c r="G3" s="25">
        <v>2</v>
      </c>
      <c r="H3" s="92" t="s">
        <v>159</v>
      </c>
      <c r="I3" s="114" t="s">
        <v>222</v>
      </c>
      <c r="J3" s="115"/>
    </row>
    <row r="4" spans="1:10" ht="12.75" customHeight="1">
      <c r="A4" s="88">
        <f t="shared" ca="1" si="0"/>
        <v>2</v>
      </c>
      <c r="B4" s="27" t="s">
        <v>56</v>
      </c>
      <c r="C4" s="82" t="str">
        <f t="shared" ca="1" si="1"/>
        <v>G</v>
      </c>
      <c r="G4" s="25">
        <v>3</v>
      </c>
      <c r="H4" s="92" t="s">
        <v>161</v>
      </c>
      <c r="I4" s="114" t="s">
        <v>223</v>
      </c>
      <c r="J4" s="115"/>
    </row>
    <row r="5" spans="1:10" ht="12.75" customHeight="1">
      <c r="A5" s="88">
        <f t="shared" ca="1" si="0"/>
        <v>3</v>
      </c>
      <c r="B5" s="27" t="s">
        <v>57</v>
      </c>
      <c r="C5" s="82" t="str">
        <f t="shared" ca="1" si="1"/>
        <v>K</v>
      </c>
      <c r="G5" s="25">
        <v>4</v>
      </c>
      <c r="H5" s="92" t="s">
        <v>184</v>
      </c>
      <c r="I5" s="114" t="s">
        <v>224</v>
      </c>
      <c r="J5" s="115"/>
    </row>
    <row r="6" spans="1:10" ht="12.75" customHeight="1">
      <c r="A6" s="88">
        <f t="shared" ca="1" si="0"/>
        <v>9</v>
      </c>
      <c r="B6" s="27" t="s">
        <v>58</v>
      </c>
      <c r="C6" s="82" t="str">
        <f t="shared" ca="1" si="1"/>
        <v>U</v>
      </c>
      <c r="G6" s="25">
        <v>5</v>
      </c>
      <c r="H6" s="92" t="s">
        <v>165</v>
      </c>
      <c r="I6" s="114" t="s">
        <v>225</v>
      </c>
      <c r="J6" s="115"/>
    </row>
    <row r="7" spans="1:10" ht="12.75" customHeight="1">
      <c r="A7" s="88">
        <f t="shared" ca="1" si="0"/>
        <v>10</v>
      </c>
      <c r="B7" s="27" t="s">
        <v>59</v>
      </c>
      <c r="C7" s="82" t="str">
        <f t="shared" ca="1" si="1"/>
        <v>W</v>
      </c>
      <c r="G7" s="25">
        <v>6</v>
      </c>
      <c r="H7" s="92" t="s">
        <v>169</v>
      </c>
      <c r="I7" s="114" t="s">
        <v>226</v>
      </c>
      <c r="J7" s="115"/>
    </row>
    <row r="8" spans="1:10" ht="12.75" customHeight="1">
      <c r="A8" s="88">
        <f t="shared" ca="1" si="0"/>
        <v>10</v>
      </c>
      <c r="B8" s="27" t="s">
        <v>60</v>
      </c>
      <c r="C8" s="82" t="str">
        <f t="shared" ca="1" si="1"/>
        <v>W</v>
      </c>
      <c r="G8" s="25">
        <v>7</v>
      </c>
      <c r="H8" s="92" t="s">
        <v>171</v>
      </c>
      <c r="I8" s="114" t="s">
        <v>227</v>
      </c>
      <c r="J8" s="115"/>
    </row>
    <row r="9" spans="1:10" ht="12.75" customHeight="1">
      <c r="A9" s="88">
        <f t="shared" ca="1" si="0"/>
        <v>2</v>
      </c>
      <c r="B9" s="27" t="s">
        <v>61</v>
      </c>
      <c r="C9" s="82" t="str">
        <f t="shared" ca="1" si="1"/>
        <v>G</v>
      </c>
      <c r="G9" s="25">
        <v>8</v>
      </c>
      <c r="H9" s="92" t="s">
        <v>173</v>
      </c>
      <c r="I9" s="114" t="s">
        <v>228</v>
      </c>
      <c r="J9" s="115"/>
    </row>
    <row r="10" spans="1:10" ht="12.75" customHeight="1">
      <c r="A10" s="88">
        <f t="shared" ca="1" si="0"/>
        <v>1</v>
      </c>
      <c r="B10" s="27" t="s">
        <v>62</v>
      </c>
      <c r="C10" s="82" t="str">
        <f t="shared" ca="1" si="1"/>
        <v>F</v>
      </c>
      <c r="G10" s="25">
        <v>9</v>
      </c>
      <c r="H10" s="92" t="s">
        <v>185</v>
      </c>
      <c r="I10" s="114" t="s">
        <v>229</v>
      </c>
      <c r="J10" s="115"/>
    </row>
    <row r="11" spans="1:10" ht="12.75" customHeight="1">
      <c r="A11" s="88">
        <f t="shared" ca="1" si="0"/>
        <v>4</v>
      </c>
      <c r="B11" s="27" t="s">
        <v>63</v>
      </c>
      <c r="C11" s="82" t="str">
        <f t="shared" ca="1" si="1"/>
        <v>M</v>
      </c>
      <c r="G11" s="25">
        <v>10</v>
      </c>
      <c r="H11" s="92" t="s">
        <v>176</v>
      </c>
      <c r="I11" s="114" t="s">
        <v>279</v>
      </c>
      <c r="J11" s="115"/>
    </row>
    <row r="12" spans="1:10" ht="12.75" customHeight="1">
      <c r="A12" s="88">
        <f t="shared" ca="1" si="0"/>
        <v>9</v>
      </c>
      <c r="B12" s="27" t="s">
        <v>64</v>
      </c>
      <c r="C12" s="82" t="str">
        <f t="shared" ca="1" si="1"/>
        <v>U</v>
      </c>
      <c r="G12" s="89"/>
      <c r="H12" s="90"/>
      <c r="I12" s="91"/>
    </row>
    <row r="13" spans="1:10" ht="12.75" customHeight="1">
      <c r="A13" s="88">
        <f t="shared" ca="1" si="0"/>
        <v>7</v>
      </c>
      <c r="B13" s="27" t="s">
        <v>97</v>
      </c>
      <c r="C13" s="82" t="str">
        <f t="shared" ca="1" si="1"/>
        <v>R</v>
      </c>
      <c r="G13" s="89"/>
      <c r="H13" s="90"/>
      <c r="I13" s="91"/>
    </row>
    <row r="14" spans="1:10" ht="12.75" customHeight="1">
      <c r="A14" s="88">
        <f t="shared" ca="1" si="0"/>
        <v>6</v>
      </c>
      <c r="B14" s="27" t="s">
        <v>98</v>
      </c>
      <c r="C14" s="82" t="str">
        <f t="shared" ca="1" si="1"/>
        <v>P</v>
      </c>
      <c r="G14" s="89"/>
      <c r="H14" s="90"/>
      <c r="I14" s="91"/>
    </row>
    <row r="15" spans="1:10" ht="12.75" customHeight="1">
      <c r="A15" s="88">
        <f t="shared" ca="1" si="0"/>
        <v>10</v>
      </c>
      <c r="B15" s="27" t="s">
        <v>99</v>
      </c>
      <c r="C15" s="82" t="str">
        <f t="shared" ca="1" si="1"/>
        <v>W</v>
      </c>
      <c r="G15" s="89"/>
      <c r="H15" s="90"/>
      <c r="I15" s="91"/>
    </row>
    <row r="16" spans="1:10" ht="12.75" customHeight="1">
      <c r="A16" s="88">
        <f t="shared" ca="1" si="0"/>
        <v>4</v>
      </c>
      <c r="B16" s="27" t="s">
        <v>100</v>
      </c>
      <c r="C16" s="82" t="str">
        <f t="shared" ca="1" si="1"/>
        <v>M</v>
      </c>
      <c r="G16" s="89"/>
      <c r="H16" s="90"/>
      <c r="I16" s="91"/>
    </row>
    <row r="17" spans="1:9" ht="12.75" customHeight="1">
      <c r="A17" s="88">
        <f t="shared" ca="1" si="0"/>
        <v>8</v>
      </c>
      <c r="B17" s="27" t="s">
        <v>101</v>
      </c>
      <c r="C17" s="82" t="str">
        <f t="shared" ca="1" si="1"/>
        <v>S</v>
      </c>
      <c r="G17" s="89"/>
      <c r="H17" s="90"/>
      <c r="I17" s="91"/>
    </row>
    <row r="18" spans="1:9" ht="12.75" customHeight="1">
      <c r="A18" s="88">
        <f t="shared" ca="1" si="0"/>
        <v>9</v>
      </c>
      <c r="B18" s="27" t="s">
        <v>102</v>
      </c>
      <c r="C18" s="82" t="str">
        <f t="shared" ca="1" si="1"/>
        <v>U</v>
      </c>
    </row>
    <row r="19" spans="1:9" ht="12.75" customHeight="1">
      <c r="A19" s="88">
        <f t="shared" ca="1" si="0"/>
        <v>7</v>
      </c>
      <c r="B19" s="27" t="s">
        <v>103</v>
      </c>
      <c r="C19" s="82" t="str">
        <f t="shared" ca="1" si="1"/>
        <v>R</v>
      </c>
    </row>
    <row r="20" spans="1:9" ht="12.75" customHeight="1">
      <c r="A20" s="88">
        <f t="shared" ca="1" si="0"/>
        <v>5</v>
      </c>
      <c r="B20" s="27" t="s">
        <v>104</v>
      </c>
      <c r="C20" s="82" t="str">
        <f t="shared" ca="1" si="1"/>
        <v>N</v>
      </c>
    </row>
    <row r="21" spans="1:9" ht="12.75" customHeight="1">
      <c r="A21" s="88">
        <f t="shared" ca="1" si="0"/>
        <v>9</v>
      </c>
      <c r="B21" s="27" t="s">
        <v>105</v>
      </c>
      <c r="C21" s="82" t="str">
        <f t="shared" ca="1" si="1"/>
        <v>U</v>
      </c>
    </row>
    <row r="22" spans="1:9" ht="12.75" customHeight="1">
      <c r="A22" s="88">
        <f t="shared" ca="1" si="0"/>
        <v>7</v>
      </c>
      <c r="B22" s="27" t="s">
        <v>106</v>
      </c>
      <c r="C22" s="82" t="str">
        <f t="shared" ca="1" si="1"/>
        <v>R</v>
      </c>
    </row>
    <row r="23" spans="1:9" ht="12.75" customHeight="1">
      <c r="A23" s="88">
        <f t="shared" ca="1" si="0"/>
        <v>5</v>
      </c>
      <c r="B23" s="27" t="s">
        <v>107</v>
      </c>
      <c r="C23" s="82" t="str">
        <f t="shared" ca="1" si="1"/>
        <v>N</v>
      </c>
    </row>
    <row r="24" spans="1:9" ht="12.75" customHeight="1">
      <c r="A24" s="88">
        <f t="shared" ca="1" si="0"/>
        <v>7</v>
      </c>
      <c r="B24" s="27" t="s">
        <v>108</v>
      </c>
      <c r="C24" s="82" t="str">
        <f t="shared" ca="1" si="1"/>
        <v>R</v>
      </c>
    </row>
    <row r="25" spans="1:9" ht="12.75" customHeight="1">
      <c r="A25" s="88">
        <f t="shared" ca="1" si="0"/>
        <v>2</v>
      </c>
      <c r="B25" s="27" t="s">
        <v>109</v>
      </c>
      <c r="C25" s="82" t="str">
        <f t="shared" ca="1" si="1"/>
        <v>G</v>
      </c>
    </row>
  </sheetData>
  <customSheetViews>
    <customSheetView guid="{F9B480CE-077C-416E-ACF9-56227F746F4A}" hiddenColumns="1" topLeftCell="B1">
      <selection activeCell="I11" sqref="I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I11" sqref="I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theme="0"/>
  </sheetPr>
  <dimension ref="A1:H27"/>
  <sheetViews>
    <sheetView workbookViewId="0">
      <selection activeCell="B13" sqref="B13"/>
    </sheetView>
  </sheetViews>
  <sheetFormatPr defaultRowHeight="12.75"/>
  <cols>
    <col min="1" max="1" width="8.28515625" style="25" bestFit="1" customWidth="1"/>
    <col min="2" max="2" width="8.28515625" style="25" customWidth="1"/>
    <col min="3" max="3" width="8.7109375" style="25" bestFit="1" customWidth="1"/>
    <col min="4" max="7" width="9.140625" style="25"/>
    <col min="8" max="8" width="12.42578125" style="25" bestFit="1" customWidth="1"/>
    <col min="9" max="16384" width="9.140625" style="25"/>
  </cols>
  <sheetData>
    <row r="1" spans="1:8">
      <c r="C1" s="30"/>
    </row>
    <row r="3" spans="1:8">
      <c r="A3" s="26" t="s">
        <v>53</v>
      </c>
      <c r="B3" s="26" t="s">
        <v>268</v>
      </c>
      <c r="C3" s="26" t="s">
        <v>11</v>
      </c>
    </row>
    <row r="4" spans="1:8">
      <c r="A4" s="27" t="s">
        <v>54</v>
      </c>
      <c r="B4" s="27" t="str">
        <f ca="1">IF(RAND()&lt;0.33,"1A",IF(RAND()&lt;0.66,"1B","1C"))</f>
        <v>1C</v>
      </c>
      <c r="C4" s="72">
        <f ca="1">RAND()*55+5</f>
        <v>7.3221997812818351</v>
      </c>
    </row>
    <row r="5" spans="1:8">
      <c r="A5" s="27" t="s">
        <v>55</v>
      </c>
      <c r="B5" s="27" t="str">
        <f t="shared" ref="B5:B27" ca="1" si="0">IF(RAND()&lt;0.33,"1A",IF(RAND()&lt;0.66,"1B","1C"))</f>
        <v>1B</v>
      </c>
      <c r="C5" s="72">
        <f t="shared" ref="C5:C27" ca="1" si="1">RAND()*55+5</f>
        <v>18.799673890614997</v>
      </c>
    </row>
    <row r="6" spans="1:8">
      <c r="A6" s="27" t="s">
        <v>56</v>
      </c>
      <c r="B6" s="27" t="str">
        <f t="shared" ca="1" si="0"/>
        <v>1A</v>
      </c>
      <c r="C6" s="72">
        <f t="shared" ca="1" si="1"/>
        <v>15.020258387519734</v>
      </c>
    </row>
    <row r="7" spans="1:8">
      <c r="A7" s="27" t="s">
        <v>57</v>
      </c>
      <c r="B7" s="27" t="str">
        <f t="shared" ca="1" si="0"/>
        <v>1A</v>
      </c>
      <c r="C7" s="72">
        <f t="shared" ca="1" si="1"/>
        <v>22.160282766514108</v>
      </c>
    </row>
    <row r="8" spans="1:8">
      <c r="A8" s="27" t="s">
        <v>58</v>
      </c>
      <c r="B8" s="27" t="str">
        <f t="shared" ca="1" si="0"/>
        <v>1A</v>
      </c>
      <c r="C8" s="72">
        <f t="shared" ca="1" si="1"/>
        <v>6.8289018429169968</v>
      </c>
    </row>
    <row r="9" spans="1:8">
      <c r="A9" s="27" t="s">
        <v>59</v>
      </c>
      <c r="B9" s="27" t="str">
        <f t="shared" ca="1" si="0"/>
        <v>1B</v>
      </c>
      <c r="C9" s="72">
        <f t="shared" ca="1" si="1"/>
        <v>26.358615723305977</v>
      </c>
    </row>
    <row r="10" spans="1:8">
      <c r="A10" s="27" t="s">
        <v>60</v>
      </c>
      <c r="B10" s="27" t="str">
        <f t="shared" ca="1" si="0"/>
        <v>1C</v>
      </c>
      <c r="C10" s="72">
        <f t="shared" ca="1" si="1"/>
        <v>37.053040699619856</v>
      </c>
    </row>
    <row r="11" spans="1:8">
      <c r="A11" s="27" t="s">
        <v>61</v>
      </c>
      <c r="B11" s="27" t="str">
        <f t="shared" ca="1" si="0"/>
        <v>1A</v>
      </c>
      <c r="C11" s="72">
        <f t="shared" ca="1" si="1"/>
        <v>28.093351559217052</v>
      </c>
    </row>
    <row r="12" spans="1:8">
      <c r="A12" s="27" t="s">
        <v>62</v>
      </c>
      <c r="B12" s="27" t="str">
        <f t="shared" ca="1" si="0"/>
        <v>1C</v>
      </c>
      <c r="C12" s="72">
        <f t="shared" ca="1" si="1"/>
        <v>36.498571829882181</v>
      </c>
    </row>
    <row r="13" spans="1:8">
      <c r="A13" s="27" t="s">
        <v>63</v>
      </c>
      <c r="B13" s="27" t="str">
        <f t="shared" ca="1" si="0"/>
        <v>1A</v>
      </c>
      <c r="C13" s="72">
        <f t="shared" ca="1" si="1"/>
        <v>24.366620165346276</v>
      </c>
    </row>
    <row r="14" spans="1:8">
      <c r="A14" s="27" t="s">
        <v>64</v>
      </c>
      <c r="B14" s="27" t="str">
        <f t="shared" ca="1" si="0"/>
        <v>1B</v>
      </c>
      <c r="C14" s="72">
        <f t="shared" ca="1" si="1"/>
        <v>29.19248513320203</v>
      </c>
    </row>
    <row r="15" spans="1:8" ht="13.5" thickBot="1">
      <c r="A15" s="27" t="s">
        <v>97</v>
      </c>
      <c r="B15" s="27" t="str">
        <f t="shared" ca="1" si="0"/>
        <v>1C</v>
      </c>
      <c r="C15" s="72">
        <f t="shared" ca="1" si="1"/>
        <v>13.462840453961004</v>
      </c>
    </row>
    <row r="16" spans="1:8">
      <c r="A16" s="27" t="s">
        <v>98</v>
      </c>
      <c r="B16" s="27" t="str">
        <f t="shared" ca="1" si="0"/>
        <v>1B</v>
      </c>
      <c r="C16" s="72">
        <f t="shared" ca="1" si="1"/>
        <v>56.651111393263562</v>
      </c>
      <c r="G16" s="125" t="s">
        <v>268</v>
      </c>
      <c r="H16" s="126" t="s">
        <v>272</v>
      </c>
    </row>
    <row r="17" spans="1:8">
      <c r="A17" s="27" t="s">
        <v>99</v>
      </c>
      <c r="B17" s="27" t="str">
        <f t="shared" ca="1" si="0"/>
        <v>1B</v>
      </c>
      <c r="C17" s="72">
        <f t="shared" ca="1" si="1"/>
        <v>46.968024677091087</v>
      </c>
      <c r="G17" s="127" t="s">
        <v>269</v>
      </c>
      <c r="H17" s="129"/>
    </row>
    <row r="18" spans="1:8">
      <c r="A18" s="27" t="s">
        <v>100</v>
      </c>
      <c r="B18" s="27" t="str">
        <f t="shared" ca="1" si="0"/>
        <v>1B</v>
      </c>
      <c r="C18" s="72">
        <f t="shared" ca="1" si="1"/>
        <v>35.137984956339793</v>
      </c>
      <c r="G18" s="127" t="s">
        <v>270</v>
      </c>
      <c r="H18" s="129"/>
    </row>
    <row r="19" spans="1:8" ht="13.5" thickBot="1">
      <c r="A19" s="27" t="s">
        <v>101</v>
      </c>
      <c r="B19" s="27" t="str">
        <f t="shared" ca="1" si="0"/>
        <v>1C</v>
      </c>
      <c r="C19" s="72">
        <f t="shared" ca="1" si="1"/>
        <v>14.50328709342153</v>
      </c>
      <c r="G19" s="128" t="s">
        <v>271</v>
      </c>
      <c r="H19" s="130"/>
    </row>
    <row r="20" spans="1:8">
      <c r="A20" s="27" t="s">
        <v>102</v>
      </c>
      <c r="B20" s="27" t="str">
        <f t="shared" ca="1" si="0"/>
        <v>1A</v>
      </c>
      <c r="C20" s="72">
        <f t="shared" ca="1" si="1"/>
        <v>31.438476059406561</v>
      </c>
    </row>
    <row r="21" spans="1:8">
      <c r="A21" s="27" t="s">
        <v>103</v>
      </c>
      <c r="B21" s="27" t="str">
        <f t="shared" ca="1" si="0"/>
        <v>1B</v>
      </c>
      <c r="C21" s="72">
        <f t="shared" ca="1" si="1"/>
        <v>48.781125737732054</v>
      </c>
    </row>
    <row r="22" spans="1:8">
      <c r="A22" s="27" t="s">
        <v>104</v>
      </c>
      <c r="B22" s="27" t="str">
        <f t="shared" ca="1" si="0"/>
        <v>1B</v>
      </c>
      <c r="C22" s="72">
        <f t="shared" ca="1" si="1"/>
        <v>14.727913788145624</v>
      </c>
    </row>
    <row r="23" spans="1:8">
      <c r="A23" s="27" t="s">
        <v>105</v>
      </c>
      <c r="B23" s="27" t="str">
        <f t="shared" ca="1" si="0"/>
        <v>1A</v>
      </c>
      <c r="C23" s="72">
        <f t="shared" ca="1" si="1"/>
        <v>35.437697202973858</v>
      </c>
    </row>
    <row r="24" spans="1:8">
      <c r="A24" s="27" t="s">
        <v>106</v>
      </c>
      <c r="B24" s="27" t="str">
        <f t="shared" ca="1" si="0"/>
        <v>1C</v>
      </c>
      <c r="C24" s="72">
        <f t="shared" ca="1" si="1"/>
        <v>47.17671559377581</v>
      </c>
    </row>
    <row r="25" spans="1:8">
      <c r="A25" s="27" t="s">
        <v>107</v>
      </c>
      <c r="B25" s="27" t="str">
        <f t="shared" ca="1" si="0"/>
        <v>1C</v>
      </c>
      <c r="C25" s="72">
        <f t="shared" ca="1" si="1"/>
        <v>15.733180702833804</v>
      </c>
    </row>
    <row r="26" spans="1:8">
      <c r="A26" s="27" t="s">
        <v>108</v>
      </c>
      <c r="B26" s="27" t="str">
        <f t="shared" ca="1" si="0"/>
        <v>1A</v>
      </c>
      <c r="C26" s="72">
        <f t="shared" ca="1" si="1"/>
        <v>51.146441006292022</v>
      </c>
    </row>
    <row r="27" spans="1:8">
      <c r="A27" s="27" t="s">
        <v>109</v>
      </c>
      <c r="B27" s="27" t="str">
        <f t="shared" ca="1" si="0"/>
        <v>1B</v>
      </c>
      <c r="C27" s="72">
        <f t="shared" ca="1" si="1"/>
        <v>46.567314126295052</v>
      </c>
    </row>
  </sheetData>
  <customSheetViews>
    <customSheetView guid="{F9B480CE-077C-416E-ACF9-56227F746F4A}">
      <selection activeCell="B13" sqref="B13"/>
      <pageMargins left="0.75" right="0.75" top="1" bottom="1" header="0.5" footer="0.5"/>
      <headerFooter alignWithMargins="0"/>
    </customSheetView>
    <customSheetView guid="{3DF5E802-5CA5-43EF-BE6A-D6FCDA5F65F2}">
      <selection activeCell="B13" sqref="B1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23</vt:i4>
      </vt:variant>
      <vt:variant>
        <vt:lpstr>Zakresy nazwane</vt:lpstr>
      </vt:variant>
      <vt:variant>
        <vt:i4>3</vt:i4>
      </vt:variant>
    </vt:vector>
  </HeadingPairs>
  <TitlesOfParts>
    <vt:vector size="26" baseType="lpstr">
      <vt:lpstr>1.Stypendium</vt:lpstr>
      <vt:lpstr>2.Stypendium</vt:lpstr>
      <vt:lpstr>3.Oceny</vt:lpstr>
      <vt:lpstr>4.Bilet</vt:lpstr>
      <vt:lpstr>5.Kino</vt:lpstr>
      <vt:lpstr>6.Urodziny</vt:lpstr>
      <vt:lpstr>7.Aukcja</vt:lpstr>
      <vt:lpstr>8.Aukcja II</vt:lpstr>
      <vt:lpstr>9.Telefon</vt:lpstr>
      <vt:lpstr>10.Telefon II</vt:lpstr>
      <vt:lpstr>11.TIRy</vt:lpstr>
      <vt:lpstr>12.Miasta</vt:lpstr>
      <vt:lpstr>13.Dni tygodnia</vt:lpstr>
      <vt:lpstr>14.Loginy</vt:lpstr>
      <vt:lpstr>15.Mat</vt:lpstr>
      <vt:lpstr>16.Rok</vt:lpstr>
      <vt:lpstr>17.Miesiąc</vt:lpstr>
      <vt:lpstr>18.Słownie</vt:lpstr>
      <vt:lpstr>19.Rejestracja</vt:lpstr>
      <vt:lpstr>20.Języki</vt:lpstr>
      <vt:lpstr>21.Języki II</vt:lpstr>
      <vt:lpstr>22. Rachunki</vt:lpstr>
      <vt:lpstr>Arkusz1</vt:lpstr>
      <vt:lpstr>'19.Rejestracja'!OLE_LINK1</vt:lpstr>
      <vt:lpstr>'20.Języki'!OLE_LINK1</vt:lpstr>
      <vt:lpstr>'21.Języki II'!OLE_LINK1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wojanwrobel</dc:creator>
  <cp:lastModifiedBy>wojan</cp:lastModifiedBy>
  <dcterms:created xsi:type="dcterms:W3CDTF">2006-11-26T20:35:52Z</dcterms:created>
  <dcterms:modified xsi:type="dcterms:W3CDTF">2025-09-19T10:35:55Z</dcterms:modified>
</cp:coreProperties>
</file>