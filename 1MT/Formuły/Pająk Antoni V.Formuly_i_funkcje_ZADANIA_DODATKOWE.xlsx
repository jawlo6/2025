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bkaszubowska - Widok osobisty" guid="{3DF5E802-5CA5-43EF-BE6A-D6FCDA5F65F2}" mergeInterval="0" personalView="1" maximized="1" xWindow="1" yWindow="1" windowWidth="1916" windowHeight="861" tabRatio="814" activeSheetId="17"/>
    <customWorkbookView name="jdworowski - Widok osobisty" guid="{F9B480CE-077C-416E-ACF9-56227F746F4A}" mergeInterval="0" personalView="1" maximized="1" xWindow="1" yWindow="1" windowWidth="1830" windowHeight="890" tabRatio="814" activeSheetId="1"/>
  </customWorkbookViews>
</workbook>
</file>

<file path=xl/calcChain.xml><?xml version="1.0" encoding="utf-8"?>
<calcChain xmlns="http://schemas.openxmlformats.org/spreadsheetml/2006/main">
  <c r="D29" i="6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C12" s="1"/>
  <c r="B13"/>
  <c r="C13" s="1"/>
  <c r="B14"/>
  <c r="C14" s="1"/>
  <c r="B15"/>
  <c r="C15" s="1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C11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B2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A5" i="14" l="1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</calcChain>
</file>

<file path=xl/sharedStrings.xml><?xml version="1.0" encoding="utf-8"?>
<sst xmlns="http://schemas.openxmlformats.org/spreadsheetml/2006/main" count="889" uniqueCount="286">
  <si>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</si>
  <si>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</si>
  <si>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</si>
  <si>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</si>
  <si>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</si>
  <si>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</si>
  <si>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</si>
  <si>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</si>
  <si>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</si>
  <si>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</si>
  <si>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</si>
  <si>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</si>
  <si>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</si>
  <si>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</si>
  <si>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</si>
  <si>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</si>
  <si>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</si>
  <si>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</si>
  <si>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</si>
  <si>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</si>
  <si>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</si>
  <si>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</si>
  <si>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</si>
  <si>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</si>
  <si>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</si>
  <si>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</si>
  <si>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</si>
  <si>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</si>
  <si>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</si>
  <si>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</si>
  <si>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</si>
  <si>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</si>
  <si>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</si>
  <si>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</si>
  <si>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</si>
  <si>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</si>
  <si>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</si>
  <si>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</si>
  <si>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</si>
  <si>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</si>
  <si>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</si>
  <si>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</si>
  <si>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</si>
  <si>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</si>
  <si>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</si>
  <si>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</si>
  <si>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</si>
  <si>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</si>
  <si>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</si>
  <si>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</si>
  <si>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</si>
  <si>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</si>
  <si>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</si>
  <si>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</si>
  <si>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</si>
  <si>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</si>
  <si>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</si>
  <si>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</si>
  <si>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</si>
  <si>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</si>
  <si>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</si>
  <si>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</si>
  <si>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</si>
  <si>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</si>
  <si>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</si>
  <si>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</si>
  <si>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</si>
  <si>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</si>
  <si>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</si>
  <si>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</si>
  <si>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</si>
  <si>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</si>
  <si>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</si>
  <si>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</si>
  <si>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</si>
  <si>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</si>
  <si>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</si>
  <si>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</si>
  <si>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</si>
  <si>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</si>
  <si>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</si>
  <si>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</si>
  <si>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</si>
  <si>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</si>
  <si>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</si>
  <si>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</si>
  <si>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</si>
  <si>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</si>
  <si>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</si>
  <si>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</si>
  <si>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</si>
  <si>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</si>
  <si>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</si>
  <si>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</si>
  <si>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</si>
  <si>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</si>
  <si>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</si>
  <si>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</si>
  <si>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</si>
  <si>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</si>
  <si>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</si>
  <si>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</si>
  <si>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</si>
  <si>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</si>
  <si>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</si>
  <si>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</si>
  <si>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</si>
  <si>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</si>
  <si>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</si>
  <si>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</si>
  <si>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</si>
  <si>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</si>
  <si>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</si>
  <si>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</si>
  <si>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</si>
  <si>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</si>
  <si>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</si>
  <si>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</si>
  <si>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</si>
  <si>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</si>
  <si>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</si>
  <si>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</si>
  <si>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</si>
  <si>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</si>
  <si>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</si>
  <si>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</si>
  <si>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</si>
  <si>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</si>
  <si>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</si>
  <si>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</si>
  <si>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</si>
  <si>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</si>
  <si>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</si>
  <si>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</si>
  <si>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</si>
  <si>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</si>
  <si>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</si>
  <si>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</si>
  <si>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</si>
  <si>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</si>
  <si>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</si>
  <si>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</si>
  <si>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</si>
  <si>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</si>
  <si>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</si>
  <si>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</si>
  <si>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</si>
  <si>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</si>
  <si>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</si>
  <si>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</si>
  <si>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</si>
  <si>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</si>
  <si>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</si>
  <si>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</si>
  <si>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</si>
  <si>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</si>
  <si>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</si>
  <si>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</si>
  <si>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</si>
  <si>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</si>
  <si>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</si>
  <si>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</si>
  <si>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</si>
  <si>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</si>
  <si>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</si>
  <si>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</si>
  <si>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</si>
  <si>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</si>
  <si>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</si>
  <si>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</si>
  <si>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</si>
  <si>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</si>
  <si>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</si>
  <si>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</si>
  <si>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</si>
  <si>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</si>
  <si>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</si>
  <si>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</si>
  <si>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</si>
  <si>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</si>
  <si>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</si>
  <si>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</si>
  <si>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</si>
  <si>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</si>
  <si>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</si>
  <si>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</si>
  <si>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</si>
  <si>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</si>
  <si>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</si>
  <si>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</si>
  <si>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</si>
  <si>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</si>
  <si>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</si>
  <si>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</si>
  <si>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</si>
  <si>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</si>
  <si>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</si>
  <si>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</si>
  <si>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</si>
  <si>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</si>
  <si>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</si>
  <si>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</si>
  <si>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</si>
  <si>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</si>
  <si>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</si>
  <si>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</si>
  <si>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</si>
  <si>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</si>
  <si>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</si>
  <si>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</si>
  <si>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</si>
  <si>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</si>
  <si>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</si>
  <si>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</si>
  <si>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</si>
  <si>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</si>
  <si>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</si>
  <si>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</si>
  <si>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</si>
  <si>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</si>
  <si>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</si>
  <si>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</si>
  <si>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</si>
  <si>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</si>
  <si>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</si>
  <si>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</si>
  <si>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</si>
  <si>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</si>
  <si>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</si>
  <si>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</si>
  <si>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</si>
  <si>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</si>
  <si>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</si>
  <si>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</si>
  <si>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</si>
  <si>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</si>
  <si>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</si>
  <si>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</si>
  <si>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</si>
  <si>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</si>
  <si>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</si>
  <si>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</si>
  <si>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</si>
  <si>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</si>
  <si>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</si>
  <si>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</si>
  <si>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</si>
  <si>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</si>
  <si>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</si>
  <si>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</si>
  <si>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</si>
  <si>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</si>
  <si>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</si>
  <si>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</si>
  <si>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</si>
  <si>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</si>
  <si>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</si>
  <si>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</si>
  <si>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</si>
  <si>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</si>
  <si>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</si>
  <si>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</si>
  <si>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</si>
  <si>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</si>
  <si>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</si>
  <si>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</si>
  <si>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</si>
  <si>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</si>
  <si>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</si>
  <si>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</si>
  <si>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</si>
  <si>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</si>
  <si>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</si>
  <si>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</si>
  <si>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</si>
  <si>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</si>
  <si>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</si>
  <si>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</si>
  <si>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</si>
  <si>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</si>
  <si>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</si>
  <si>
    <t>liczba dni\:</t>
  </si>
  <si>
    <r>
      <t xml:space="preserve">W komórce </t>
    </r>
    <r>
      <rPr>
        <sz val="10"/>
        <color rgb="FFFF0000"/>
        <rFont val="Arial"/>
        <family val="2"/>
        <charset val="238"/>
      </rPr>
      <t>B1</t>
    </r>
    <r>
      <rPr>
        <sz val="10"/>
        <color rgb="FF0000FF"/>
        <rFont val="Arial"/>
        <family val="2"/>
        <charset val="238"/>
      </rPr>
      <t xml:space="preserve"> podano bieżącą datę systemową. Wartość ta może być </t>
    </r>
    <r>
      <rPr>
        <b/>
        <u/>
        <sz val="10"/>
        <rFont val="Calibri"/>
        <family val="2"/>
        <charset val="238"/>
      </rPr>
      <t>dowolnie zmieniana</t>
    </r>
    <r>
      <rPr>
        <sz val="10"/>
        <rFont val="Calibri"/>
        <family val="2"/>
        <charset val="238"/>
      </rPr>
      <t xml:space="preserve"> i zmienia się automatycznie</t>
    </r>
    <r>
      <rPr>
        <sz val="10"/>
        <color rgb="FF0000FF"/>
        <rFont val="Arial"/>
        <family val="2"/>
        <charset val="238"/>
      </rPr>
      <t xml:space="preserve">. </t>
    </r>
  </si>
  <si>
    <r>
      <t xml:space="preserve">W komórkach </t>
    </r>
    <r>
      <rPr>
        <sz val="10"/>
        <color rgb="FFFF0000"/>
        <rFont val="Arial"/>
        <family val="2"/>
        <charset val="238"/>
      </rPr>
      <t>B3:D27</t>
    </r>
    <r>
      <rPr>
        <sz val="10"/>
        <color rgb="FF0000FF"/>
        <rFont val="Arial"/>
        <family val="2"/>
        <charset val="238"/>
      </rPr>
      <t xml:space="preserve"> jest podany spis uczniów wraz z datą urodzenia. Data (kolumna </t>
    </r>
    <r>
      <rPr>
        <sz val="10"/>
        <color rgb="FFFF0000"/>
        <rFont val="Arial"/>
        <family val="2"/>
        <charset val="238"/>
      </rPr>
      <t>C</t>
    </r>
    <r>
      <rPr>
        <sz val="10"/>
        <color rgb="FF0000FF"/>
        <rFont val="Arial"/>
        <family val="2"/>
        <charset val="238"/>
      </rPr>
      <t xml:space="preserve">) może być </t>
    </r>
    <r>
      <rPr>
        <b/>
        <u/>
        <sz val="10"/>
        <rFont val="Calibri"/>
        <family val="2"/>
        <charset val="238"/>
      </rPr>
      <t>dowolnie zmieniana</t>
    </r>
    <r>
      <rPr>
        <sz val="10"/>
        <rFont val="Calibri"/>
        <family val="2"/>
        <charset val="238"/>
      </rPr>
      <t xml:space="preserve"> i zmienia się automatycznie</t>
    </r>
    <r>
      <rPr>
        <sz val="10"/>
        <color rgb="FF0000FF"/>
        <rFont val="Arial"/>
        <family val="2"/>
        <charset val="238"/>
      </rPr>
      <t>.</t>
    </r>
  </si>
  <si>
    <r>
      <t>Zadanie</t>
    </r>
    <r>
      <rPr>
        <sz val="10"/>
        <color rgb="FF0000FF"/>
        <rFont val="Arial"/>
        <family val="2"/>
        <charset val="238"/>
      </rPr>
      <t xml:space="preserve">: </t>
    </r>
  </si>
  <si>
    <t>Napisz formułę obliczającą liczbę dni życia każdego ucznia, uwzględniającą wszelkie powyższe warunki.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</si>
</sst>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7">
    <font>
      <sz val="10"/>
      <name val="Arial"/>
      <charset val="238"/>
    </font>
    <font>
      <sz val="10"/>
      <name val="Arial"/>
      <family val="2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  <charset val="238"/>
    </font>
    <font>
      <sz val="10"/>
      <color rgb="FFFF0000"/>
      <name val="Arial"/>
      <family val="2"/>
      <charset val="238"/>
    </font>
    <font>
      <b/>
      <u/>
      <sz val="10"/>
      <name val="Calibri"/>
      <family val="2"/>
      <charset val="238"/>
    </font>
    <font>
      <sz val="10"/>
      <name val="Calibri"/>
      <family val="2"/>
      <charset val="238"/>
    </font>
    <font>
      <b/>
      <u/>
      <sz val="10"/>
      <color rgb="FF0000FF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6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0" fontId="15" fillId="7" borderId="18" xfId="5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164" fontId="3" fillId="0" borderId="0" xfId="5" applyNumberFormat="1"/>
    <xf numFmtId="164" fontId="15" fillId="7" borderId="18" xfId="5" applyNumberFormat="1" applyFont="1" applyFill="1" applyBorder="1"/>
    <xf numFmtId="0" fontId="22" fillId="0" borderId="0" xfId="0" applyFont="1" applyAlignment="1">
      <alignment horizontal="left" readingOrder="1"/>
    </xf>
    <xf numFmtId="0" fontId="26" fillId="0" borderId="0" xfId="0" applyFont="1" applyAlignment="1">
      <alignment horizontal="left" readingOrder="1"/>
    </xf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5" borderId="0" xfId="0" applyFont="1" applyFill="1" applyAlignment="1">
      <alignment horizontal="right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7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.bin"/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tabSelected="1" workbookViewId="0">
      <selection activeCell="C33" sqref="C33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321.67008926883642</v>
      </c>
    </row>
    <row r="5" spans="1:2">
      <c r="A5" s="27" t="s">
        <v>55</v>
      </c>
      <c r="B5" s="72" t="str">
        <f t="shared" ref="B5:B27" ca="1" si="0">IF(RAND()&lt;0.1,"brak",RAND()*319+52)</f>
        <v>brak</v>
      </c>
    </row>
    <row r="6" spans="1:2">
      <c r="A6" s="27" t="s">
        <v>56</v>
      </c>
      <c r="B6" s="72">
        <f t="shared" ca="1" si="0"/>
        <v>157.05235908852492</v>
      </c>
    </row>
    <row r="7" spans="1:2">
      <c r="A7" s="27" t="s">
        <v>57</v>
      </c>
      <c r="B7" s="72">
        <f t="shared" ca="1" si="0"/>
        <v>286.18788156854043</v>
      </c>
    </row>
    <row r="8" spans="1:2">
      <c r="A8" s="27" t="s">
        <v>58</v>
      </c>
      <c r="B8" s="72">
        <f t="shared" ca="1" si="0"/>
        <v>339.8283235218446</v>
      </c>
    </row>
    <row r="9" spans="1:2">
      <c r="A9" s="27" t="s">
        <v>59</v>
      </c>
      <c r="B9" s="72">
        <f t="shared" ca="1" si="0"/>
        <v>124.04531952319915</v>
      </c>
    </row>
    <row r="10" spans="1:2">
      <c r="A10" s="27" t="s">
        <v>60</v>
      </c>
      <c r="B10" s="72">
        <f t="shared" ca="1" si="0"/>
        <v>237.21181330959163</v>
      </c>
    </row>
    <row r="11" spans="1:2">
      <c r="A11" s="27" t="s">
        <v>61</v>
      </c>
      <c r="B11" s="72">
        <f t="shared" ca="1" si="0"/>
        <v>306.26956465788965</v>
      </c>
    </row>
    <row r="12" spans="1:2">
      <c r="A12" s="27" t="s">
        <v>62</v>
      </c>
      <c r="B12" s="72" t="str">
        <f t="shared" ca="1" si="0"/>
        <v>brak</v>
      </c>
    </row>
    <row r="13" spans="1:2">
      <c r="A13" s="27" t="s">
        <v>63</v>
      </c>
      <c r="B13" s="72">
        <f t="shared" ca="1" si="0"/>
        <v>108.58868994661471</v>
      </c>
    </row>
    <row r="14" spans="1:2">
      <c r="A14" s="27" t="s">
        <v>64</v>
      </c>
      <c r="B14" s="72" t="str">
        <f t="shared" ca="1" si="0"/>
        <v>brak</v>
      </c>
    </row>
    <row r="15" spans="1:2">
      <c r="A15" s="27" t="s">
        <v>97</v>
      </c>
      <c r="B15" s="72">
        <f t="shared" ca="1" si="0"/>
        <v>342.91219807055307</v>
      </c>
    </row>
    <row r="16" spans="1:2">
      <c r="A16" s="27" t="s">
        <v>98</v>
      </c>
      <c r="B16" s="72">
        <f t="shared" ca="1" si="0"/>
        <v>76.595685489897932</v>
      </c>
    </row>
    <row r="17" spans="1:2">
      <c r="A17" s="27" t="s">
        <v>99</v>
      </c>
      <c r="B17" s="72">
        <f t="shared" ca="1" si="0"/>
        <v>275.85577565239862</v>
      </c>
    </row>
    <row r="18" spans="1:2">
      <c r="A18" s="27" t="s">
        <v>100</v>
      </c>
      <c r="B18" s="72">
        <f t="shared" ca="1" si="0"/>
        <v>254.27058398021029</v>
      </c>
    </row>
    <row r="19" spans="1:2">
      <c r="A19" s="27" t="s">
        <v>101</v>
      </c>
      <c r="B19" s="72">
        <f t="shared" ca="1" si="0"/>
        <v>143.67461068289489</v>
      </c>
    </row>
    <row r="20" spans="1:2">
      <c r="A20" s="27" t="s">
        <v>102</v>
      </c>
      <c r="B20" s="72">
        <f t="shared" ca="1" si="0"/>
        <v>94.597133493429524</v>
      </c>
    </row>
    <row r="21" spans="1:2">
      <c r="A21" s="27" t="s">
        <v>103</v>
      </c>
      <c r="B21" s="72">
        <f t="shared" ca="1" si="0"/>
        <v>155.04008820002139</v>
      </c>
    </row>
    <row r="22" spans="1:2">
      <c r="A22" s="27" t="s">
        <v>104</v>
      </c>
      <c r="B22" s="72">
        <f t="shared" ca="1" si="0"/>
        <v>364.07306675147544</v>
      </c>
    </row>
    <row r="23" spans="1:2">
      <c r="A23" s="27" t="s">
        <v>105</v>
      </c>
      <c r="B23" s="72">
        <f t="shared" ca="1" si="0"/>
        <v>328.13605234265663</v>
      </c>
    </row>
    <row r="24" spans="1:2">
      <c r="A24" s="27" t="s">
        <v>106</v>
      </c>
      <c r="B24" s="72">
        <f t="shared" ca="1" si="0"/>
        <v>363.41662770369845</v>
      </c>
    </row>
    <row r="25" spans="1:2">
      <c r="A25" s="27" t="s">
        <v>107</v>
      </c>
      <c r="B25" s="72">
        <f t="shared" ca="1" si="0"/>
        <v>190.25799847990436</v>
      </c>
    </row>
    <row r="26" spans="1:2">
      <c r="A26" s="27" t="s">
        <v>108</v>
      </c>
      <c r="B26" s="72">
        <f t="shared" ca="1" si="0"/>
        <v>143.75114272424838</v>
      </c>
    </row>
    <row r="27" spans="1:2">
      <c r="A27" s="27" t="s">
        <v>109</v>
      </c>
      <c r="B27" s="72">
        <f t="shared" ca="1" si="0"/>
        <v>152.52592595749587</v>
      </c>
    </row>
    <row r="28" spans="1:2" ht="13.5" thickBot="1"/>
    <row r="29" spans="1:2" ht="13.5" thickBot="1">
      <c r="A29" s="25" t="s">
        <v>112</v>
      </c>
      <c r="B29" s="73">
        <v>4600</v>
      </c>
    </row>
  </sheetData>
  <customSheetViews>
    <customSheetView guid="{3DF5E802-5CA5-43EF-BE6A-D6FCDA5F65F2}">
      <selection activeCell="B2" sqref="B2"/>
      <pageMargins left="0.75" right="0.75" top="1" bottom="1" header="0.5" footer="0.5"/>
      <headerFooter alignWithMargins="0"/>
    </customSheetView>
    <customSheetView guid="{F9B480CE-077C-416E-ACF9-56227F746F4A}">
      <selection activeCell="K2" sqref="K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IF(RAND()&lt;0.1,"brak",RAND()*419+62)</f>
        <v>207.54572326675935</v>
      </c>
    </row>
    <row r="5" spans="1:2">
      <c r="A5" s="27" t="s">
        <v>55</v>
      </c>
      <c r="B5" s="72" t="str">
        <f t="shared" ref="B5:B27" ca="1" si="0">IF(RAND()&lt;0.1,"brak",RAND()*419+62)</f>
        <v>brak</v>
      </c>
    </row>
    <row r="6" spans="1:2">
      <c r="A6" s="27" t="s">
        <v>56</v>
      </c>
      <c r="B6" s="72">
        <f t="shared" ca="1" si="0"/>
        <v>272.46413719238956</v>
      </c>
    </row>
    <row r="7" spans="1:2">
      <c r="A7" s="27" t="s">
        <v>57</v>
      </c>
      <c r="B7" s="72">
        <f t="shared" ca="1" si="0"/>
        <v>181.23214186031043</v>
      </c>
    </row>
    <row r="8" spans="1:2">
      <c r="A8" s="27" t="s">
        <v>58</v>
      </c>
      <c r="B8" s="72">
        <f t="shared" ca="1" si="0"/>
        <v>446.72618804055202</v>
      </c>
    </row>
    <row r="9" spans="1:2">
      <c r="A9" s="27" t="s">
        <v>59</v>
      </c>
      <c r="B9" s="72">
        <f t="shared" ca="1" si="0"/>
        <v>383.71258837803055</v>
      </c>
    </row>
    <row r="10" spans="1:2">
      <c r="A10" s="27" t="s">
        <v>60</v>
      </c>
      <c r="B10" s="72" t="str">
        <f t="shared" ca="1" si="0"/>
        <v>brak</v>
      </c>
    </row>
    <row r="11" spans="1:2">
      <c r="A11" s="27" t="s">
        <v>61</v>
      </c>
      <c r="B11" s="72">
        <f t="shared" ca="1" si="0"/>
        <v>475.85811924926838</v>
      </c>
    </row>
    <row r="12" spans="1:2">
      <c r="A12" s="27" t="s">
        <v>62</v>
      </c>
      <c r="B12" s="72">
        <f t="shared" ca="1" si="0"/>
        <v>448.22599998496031</v>
      </c>
    </row>
    <row r="13" spans="1:2">
      <c r="A13" s="27" t="s">
        <v>63</v>
      </c>
      <c r="B13" s="72">
        <f t="shared" ca="1" si="0"/>
        <v>249.86321527177051</v>
      </c>
    </row>
    <row r="14" spans="1:2">
      <c r="A14" s="27" t="s">
        <v>64</v>
      </c>
      <c r="B14" s="72">
        <f t="shared" ca="1" si="0"/>
        <v>103.90787175322924</v>
      </c>
    </row>
    <row r="15" spans="1:2">
      <c r="A15" s="27" t="s">
        <v>97</v>
      </c>
      <c r="B15" s="72">
        <f t="shared" ca="1" si="0"/>
        <v>165.87615385058129</v>
      </c>
    </row>
    <row r="16" spans="1:2">
      <c r="A16" s="27" t="s">
        <v>98</v>
      </c>
      <c r="B16" s="72">
        <f t="shared" ca="1" si="0"/>
        <v>443.65432753096741</v>
      </c>
    </row>
    <row r="17" spans="1:2">
      <c r="A17" s="27" t="s">
        <v>99</v>
      </c>
      <c r="B17" s="72">
        <f t="shared" ca="1" si="0"/>
        <v>76.308997485093599</v>
      </c>
    </row>
    <row r="18" spans="1:2">
      <c r="A18" s="27" t="s">
        <v>100</v>
      </c>
      <c r="B18" s="72">
        <f t="shared" ca="1" si="0"/>
        <v>171.8277653157183</v>
      </c>
    </row>
    <row r="19" spans="1:2">
      <c r="A19" s="27" t="s">
        <v>101</v>
      </c>
      <c r="B19" s="72">
        <f t="shared" ca="1" si="0"/>
        <v>304.89584052497617</v>
      </c>
    </row>
    <row r="20" spans="1:2">
      <c r="A20" s="27" t="s">
        <v>102</v>
      </c>
      <c r="B20" s="72">
        <f t="shared" ca="1" si="0"/>
        <v>257.3396155471649</v>
      </c>
    </row>
    <row r="21" spans="1:2">
      <c r="A21" s="27" t="s">
        <v>103</v>
      </c>
      <c r="B21" s="72">
        <f t="shared" ca="1" si="0"/>
        <v>72.980337767140298</v>
      </c>
    </row>
    <row r="22" spans="1:2">
      <c r="A22" s="27" t="s">
        <v>104</v>
      </c>
      <c r="B22" s="72">
        <f t="shared" ca="1" si="0"/>
        <v>187.64334656139457</v>
      </c>
    </row>
    <row r="23" spans="1:2">
      <c r="A23" s="27" t="s">
        <v>105</v>
      </c>
      <c r="B23" s="72">
        <f t="shared" ca="1" si="0"/>
        <v>475.12742180732619</v>
      </c>
    </row>
    <row r="24" spans="1:2">
      <c r="A24" s="27" t="s">
        <v>106</v>
      </c>
      <c r="B24" s="72">
        <f t="shared" ca="1" si="0"/>
        <v>378.43132603277718</v>
      </c>
    </row>
    <row r="25" spans="1:2">
      <c r="A25" s="27" t="s">
        <v>107</v>
      </c>
      <c r="B25" s="72">
        <f t="shared" ca="1" si="0"/>
        <v>295.77991325945328</v>
      </c>
    </row>
    <row r="26" spans="1:2">
      <c r="A26" s="27" t="s">
        <v>108</v>
      </c>
      <c r="B26" s="72">
        <f t="shared" ca="1" si="0"/>
        <v>389.34859944617517</v>
      </c>
    </row>
    <row r="27" spans="1:2">
      <c r="A27" s="27" t="s">
        <v>109</v>
      </c>
      <c r="B27" s="72">
        <f t="shared" ca="1" si="0"/>
        <v>290.97392871271211</v>
      </c>
    </row>
    <row r="28" spans="1:2" ht="13.5" thickBot="1"/>
    <row r="29" spans="1:2" ht="13.5" thickBot="1">
      <c r="A29" s="25" t="s">
        <v>112</v>
      </c>
      <c r="B29" s="73">
        <f ca="1">ROUND(MAX(B2:B27),-1)</f>
        <v>480</v>
      </c>
    </row>
  </sheetData>
  <customSheetViews>
    <customSheetView guid="{3DF5E802-5CA5-43EF-BE6A-D6FCDA5F65F2}">
      <selection activeCell="E29" sqref="E29"/>
      <pageMargins left="0.75" right="0.75" top="1" bottom="1" header="0.5" footer="0.5"/>
      <headerFooter alignWithMargins="0"/>
    </customSheetView>
    <customSheetView guid="{F9B480CE-077C-416E-ACF9-56227F746F4A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30"/>
  <sheetViews>
    <sheetView workbookViewId="0">
      <selection activeCell="D48" sqref="D48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4">
        <f ca="1">IF(RAND()&lt;0.1,"nb",RAND()*5.7+0.51)</f>
        <v>2.4146376253328068</v>
      </c>
    </row>
    <row r="5" spans="1:2">
      <c r="A5" s="27" t="s">
        <v>55</v>
      </c>
      <c r="B5" s="74">
        <f t="shared" ref="B5:B27" ca="1" si="0">IF(RAND()&lt;0.1,"nb",RAND()*5.7+0.51)</f>
        <v>3.6257876396311612</v>
      </c>
    </row>
    <row r="6" spans="1:2">
      <c r="A6" s="27" t="s">
        <v>56</v>
      </c>
      <c r="B6" s="74">
        <f t="shared" ca="1" si="0"/>
        <v>6.1239416668846101</v>
      </c>
    </row>
    <row r="7" spans="1:2">
      <c r="A7" s="27" t="s">
        <v>57</v>
      </c>
      <c r="B7" s="74">
        <f t="shared" ca="1" si="0"/>
        <v>3.8589045229414554</v>
      </c>
    </row>
    <row r="8" spans="1:2">
      <c r="A8" s="27" t="s">
        <v>58</v>
      </c>
      <c r="B8" s="74">
        <f t="shared" ca="1" si="0"/>
        <v>2.019799134421965</v>
      </c>
    </row>
    <row r="9" spans="1:2">
      <c r="A9" s="27" t="s">
        <v>59</v>
      </c>
      <c r="B9" s="74">
        <f t="shared" ca="1" si="0"/>
        <v>1.646541097133674</v>
      </c>
    </row>
    <row r="10" spans="1:2">
      <c r="A10" s="27" t="s">
        <v>60</v>
      </c>
      <c r="B10" s="74">
        <f t="shared" ca="1" si="0"/>
        <v>3.4787317389686363</v>
      </c>
    </row>
    <row r="11" spans="1:2">
      <c r="A11" s="27" t="s">
        <v>61</v>
      </c>
      <c r="B11" s="74">
        <f t="shared" ca="1" si="0"/>
        <v>5.0087480612815307</v>
      </c>
    </row>
    <row r="12" spans="1:2">
      <c r="A12" s="27" t="s">
        <v>62</v>
      </c>
      <c r="B12" s="74">
        <f t="shared" ca="1" si="0"/>
        <v>2.840125275922321</v>
      </c>
    </row>
    <row r="13" spans="1:2">
      <c r="A13" s="27" t="s">
        <v>63</v>
      </c>
      <c r="B13" s="74">
        <f t="shared" ca="1" si="0"/>
        <v>0.54770488975061904</v>
      </c>
    </row>
    <row r="14" spans="1:2">
      <c r="A14" s="27" t="s">
        <v>64</v>
      </c>
      <c r="B14" s="74">
        <f t="shared" ca="1" si="0"/>
        <v>4.5399037804275633</v>
      </c>
    </row>
    <row r="15" spans="1:2">
      <c r="A15" s="27" t="s">
        <v>97</v>
      </c>
      <c r="B15" s="74">
        <f t="shared" ca="1" si="0"/>
        <v>4.5394659250989022</v>
      </c>
    </row>
    <row r="16" spans="1:2">
      <c r="A16" s="27" t="s">
        <v>98</v>
      </c>
      <c r="B16" s="74">
        <f t="shared" ca="1" si="0"/>
        <v>3.319554897342746</v>
      </c>
    </row>
    <row r="17" spans="1:2">
      <c r="A17" s="27" t="s">
        <v>99</v>
      </c>
      <c r="B17" s="74">
        <f t="shared" ca="1" si="0"/>
        <v>2.6584343828197907</v>
      </c>
    </row>
    <row r="18" spans="1:2">
      <c r="A18" s="27" t="s">
        <v>100</v>
      </c>
      <c r="B18" s="74">
        <f t="shared" ca="1" si="0"/>
        <v>2.1383687488927507</v>
      </c>
    </row>
    <row r="19" spans="1:2">
      <c r="A19" s="27" t="s">
        <v>101</v>
      </c>
      <c r="B19" s="74">
        <f t="shared" ca="1" si="0"/>
        <v>1.2845894643865496</v>
      </c>
    </row>
    <row r="20" spans="1:2">
      <c r="A20" s="27" t="s">
        <v>102</v>
      </c>
      <c r="B20" s="74">
        <f t="shared" ca="1" si="0"/>
        <v>3.5313794717098865</v>
      </c>
    </row>
    <row r="21" spans="1:2">
      <c r="A21" s="27" t="s">
        <v>103</v>
      </c>
      <c r="B21" s="74">
        <f t="shared" ca="1" si="0"/>
        <v>2.0491062981914583</v>
      </c>
    </row>
    <row r="22" spans="1:2">
      <c r="A22" s="27" t="s">
        <v>104</v>
      </c>
      <c r="B22" s="74">
        <f t="shared" ca="1" si="0"/>
        <v>2.0361798646277438</v>
      </c>
    </row>
    <row r="23" spans="1:2">
      <c r="A23" s="27" t="s">
        <v>105</v>
      </c>
      <c r="B23" s="74">
        <f t="shared" ca="1" si="0"/>
        <v>5.2088549435848206</v>
      </c>
    </row>
    <row r="24" spans="1:2">
      <c r="A24" s="27" t="s">
        <v>106</v>
      </c>
      <c r="B24" s="74">
        <f t="shared" ca="1" si="0"/>
        <v>5.9110035078891743</v>
      </c>
    </row>
    <row r="25" spans="1:2">
      <c r="A25" s="27" t="s">
        <v>107</v>
      </c>
      <c r="B25" s="74">
        <f t="shared" ca="1" si="0"/>
        <v>3.7367616838837412</v>
      </c>
    </row>
    <row r="26" spans="1:2">
      <c r="A26" s="27" t="s">
        <v>108</v>
      </c>
      <c r="B26" s="74">
        <f t="shared" ca="1" si="0"/>
        <v>2.4656713866079731</v>
      </c>
    </row>
    <row r="27" spans="1:2">
      <c r="A27" s="27" t="s">
        <v>109</v>
      </c>
      <c r="B27" s="74">
        <f t="shared" ca="1" si="0"/>
        <v>2.7663789049458609</v>
      </c>
    </row>
    <row r="28" spans="1:2" ht="13.5" thickBot="1"/>
    <row r="29" spans="1:2" ht="13.5" thickBot="1">
      <c r="A29" s="25" t="s">
        <v>9</v>
      </c>
      <c r="B29" s="134">
        <f ca="1">ROUND(AVERAGE(B4:B27), 1)</f>
        <v>3.2</v>
      </c>
    </row>
    <row r="30" spans="1:2">
      <c r="B30" s="133"/>
    </row>
  </sheetData>
  <customSheetViews>
    <customSheetView guid="{3DF5E802-5CA5-43EF-BE6A-D6FCDA5F65F2}">
      <selection activeCell="E33" sqref="E33"/>
      <pageMargins left="0.75" right="0.75" top="1" bottom="1" header="0.5" footer="0.5"/>
      <headerFooter alignWithMargins="0"/>
    </customSheetView>
    <customSheetView guid="{F9B480CE-077C-416E-ACF9-56227F746F4A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169" workbookViewId="0">
      <selection activeCell="D219" sqref="D219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0.12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274</v>
      </c>
      <c r="B9" s="94" t="s">
        <v>275</v>
      </c>
      <c r="C9" s="131" t="s">
        <v>276</v>
      </c>
    </row>
    <row r="10" spans="1:3" ht="13.5" thickBot="1">
      <c r="A10" s="3">
        <v>1023652135</v>
      </c>
      <c r="B10" s="10">
        <f ca="1">ROUND(RAND()*400+20,0)</f>
        <v>130</v>
      </c>
      <c r="C10" s="5">
        <f ca="1">B10*0.17</f>
        <v>22.1</v>
      </c>
    </row>
    <row r="11" spans="1:3" ht="13.5" thickBot="1">
      <c r="A11" s="3">
        <f>A10+13</f>
        <v>1023652148</v>
      </c>
      <c r="B11" s="10">
        <f t="shared" ref="B11:B74" ca="1" si="0">ROUND(RAND()*400+20,0)</f>
        <v>232</v>
      </c>
      <c r="C11" s="5">
        <f t="shared" ref="C11:C74" ca="1" si="1">B11*0.17</f>
        <v>39.440000000000005</v>
      </c>
    </row>
    <row r="12" spans="1:3" ht="13.5" thickBot="1">
      <c r="A12" s="3">
        <v>1023652136</v>
      </c>
      <c r="B12" s="10">
        <f t="shared" ca="1" si="0"/>
        <v>75</v>
      </c>
      <c r="C12" s="5">
        <f t="shared" ca="1" si="1"/>
        <v>12.750000000000002</v>
      </c>
    </row>
    <row r="13" spans="1:3" ht="13.5" thickBot="1">
      <c r="A13" s="3">
        <f>A12+13</f>
        <v>1023652149</v>
      </c>
      <c r="B13" s="10">
        <f t="shared" ca="1" si="0"/>
        <v>99</v>
      </c>
      <c r="C13" s="5">
        <f t="shared" ca="1" si="1"/>
        <v>16.830000000000002</v>
      </c>
    </row>
    <row r="14" spans="1:3" ht="13.5" thickBot="1">
      <c r="A14" s="3">
        <v>1023652137</v>
      </c>
      <c r="B14" s="10">
        <f t="shared" ca="1" si="0"/>
        <v>342</v>
      </c>
      <c r="C14" s="5">
        <f t="shared" ca="1" si="1"/>
        <v>58.140000000000008</v>
      </c>
    </row>
    <row r="15" spans="1:3" ht="13.5" thickBot="1">
      <c r="A15" s="3">
        <f>A14+13</f>
        <v>1023652150</v>
      </c>
      <c r="B15" s="10">
        <f t="shared" ca="1" si="0"/>
        <v>352</v>
      </c>
      <c r="C15" s="5">
        <f t="shared" ca="1" si="1"/>
        <v>59.84</v>
      </c>
    </row>
    <row r="16" spans="1:3" ht="13.5" thickBot="1">
      <c r="A16" s="3">
        <v>1023652138</v>
      </c>
      <c r="B16" s="10">
        <f t="shared" ca="1" si="0"/>
        <v>137</v>
      </c>
      <c r="C16" s="5">
        <f t="shared" ca="1" si="1"/>
        <v>23.290000000000003</v>
      </c>
    </row>
    <row r="17" spans="1:3" ht="13.5" thickBot="1">
      <c r="A17" s="3">
        <f>A16+13</f>
        <v>1023652151</v>
      </c>
      <c r="B17" s="10">
        <f t="shared" ca="1" si="0"/>
        <v>221</v>
      </c>
      <c r="C17" s="5">
        <f t="shared" ca="1" si="1"/>
        <v>37.57</v>
      </c>
    </row>
    <row r="18" spans="1:3" ht="13.5" thickBot="1">
      <c r="A18" s="3">
        <v>1023652139</v>
      </c>
      <c r="B18" s="10">
        <f t="shared" ca="1" si="0"/>
        <v>220</v>
      </c>
      <c r="C18" s="5">
        <f t="shared" ca="1" si="1"/>
        <v>37.400000000000006</v>
      </c>
    </row>
    <row r="19" spans="1:3" ht="13.5" thickBot="1">
      <c r="A19" s="3">
        <f>A18+13</f>
        <v>1023652152</v>
      </c>
      <c r="B19" s="10">
        <f t="shared" ca="1" si="0"/>
        <v>118</v>
      </c>
      <c r="C19" s="5">
        <f t="shared" ca="1" si="1"/>
        <v>20.060000000000002</v>
      </c>
    </row>
    <row r="20" spans="1:3" ht="13.5" thickBot="1">
      <c r="A20" s="3">
        <v>1023652140</v>
      </c>
      <c r="B20" s="10">
        <f t="shared" ca="1" si="0"/>
        <v>400</v>
      </c>
      <c r="C20" s="5">
        <f t="shared" ca="1" si="1"/>
        <v>68</v>
      </c>
    </row>
    <row r="21" spans="1:3" ht="13.5" thickBot="1">
      <c r="A21" s="3">
        <f>A20+13</f>
        <v>1023652153</v>
      </c>
      <c r="B21" s="10">
        <f t="shared" ca="1" si="0"/>
        <v>326</v>
      </c>
      <c r="C21" s="5">
        <f t="shared" ca="1" si="1"/>
        <v>55.42</v>
      </c>
    </row>
    <row r="22" spans="1:3" ht="13.5" thickBot="1">
      <c r="A22" s="3">
        <v>1023652141</v>
      </c>
      <c r="B22" s="10">
        <f t="shared" ca="1" si="0"/>
        <v>328</v>
      </c>
      <c r="C22" s="5">
        <f t="shared" ca="1" si="1"/>
        <v>55.760000000000005</v>
      </c>
    </row>
    <row r="23" spans="1:3" ht="13.5" thickBot="1">
      <c r="A23" s="3">
        <f>A22+13</f>
        <v>1023652154</v>
      </c>
      <c r="B23" s="10">
        <f t="shared" ca="1" si="0"/>
        <v>319</v>
      </c>
      <c r="C23" s="5">
        <f t="shared" ca="1" si="1"/>
        <v>54.230000000000004</v>
      </c>
    </row>
    <row r="24" spans="1:3" ht="13.5" thickBot="1">
      <c r="A24" s="3">
        <v>1023652142</v>
      </c>
      <c r="B24" s="10">
        <f t="shared" ca="1" si="0"/>
        <v>327</v>
      </c>
      <c r="C24" s="5">
        <f t="shared" ca="1" si="1"/>
        <v>55.59</v>
      </c>
    </row>
    <row r="25" spans="1:3" ht="13.5" thickBot="1">
      <c r="A25" s="3">
        <f>A24+13</f>
        <v>1023652155</v>
      </c>
      <c r="B25" s="10">
        <f t="shared" ca="1" si="0"/>
        <v>171</v>
      </c>
      <c r="C25" s="5">
        <f t="shared" ca="1" si="1"/>
        <v>29.070000000000004</v>
      </c>
    </row>
    <row r="26" spans="1:3" ht="13.5" thickBot="1">
      <c r="A26" s="3">
        <v>1023652143</v>
      </c>
      <c r="B26" s="10">
        <f t="shared" ca="1" si="0"/>
        <v>416</v>
      </c>
      <c r="C26" s="5">
        <f t="shared" ca="1" si="1"/>
        <v>70.72</v>
      </c>
    </row>
    <row r="27" spans="1:3" ht="13.5" thickBot="1">
      <c r="A27" s="3">
        <f>A26+13</f>
        <v>1023652156</v>
      </c>
      <c r="B27" s="10">
        <f t="shared" ca="1" si="0"/>
        <v>118</v>
      </c>
      <c r="C27" s="5">
        <f t="shared" ca="1" si="1"/>
        <v>20.060000000000002</v>
      </c>
    </row>
    <row r="28" spans="1:3" ht="13.5" thickBot="1">
      <c r="A28" s="3">
        <v>1023652144</v>
      </c>
      <c r="B28" s="10">
        <f t="shared" ca="1" si="0"/>
        <v>171</v>
      </c>
      <c r="C28" s="5">
        <f t="shared" ca="1" si="1"/>
        <v>29.070000000000004</v>
      </c>
    </row>
    <row r="29" spans="1:3" ht="13.5" thickBot="1">
      <c r="A29" s="3">
        <f>A28+13</f>
        <v>1023652157</v>
      </c>
      <c r="B29" s="10">
        <f t="shared" ca="1" si="0"/>
        <v>167</v>
      </c>
      <c r="C29" s="5">
        <f t="shared" ca="1" si="1"/>
        <v>28.39</v>
      </c>
    </row>
    <row r="30" spans="1:3" ht="13.5" thickBot="1">
      <c r="A30" s="3">
        <v>1023652145</v>
      </c>
      <c r="B30" s="10">
        <f t="shared" ca="1" si="0"/>
        <v>242</v>
      </c>
      <c r="C30" s="5">
        <f t="shared" ca="1" si="1"/>
        <v>41.14</v>
      </c>
    </row>
    <row r="31" spans="1:3" ht="13.5" thickBot="1">
      <c r="A31" s="3">
        <f>A30+13</f>
        <v>1023652158</v>
      </c>
      <c r="B31" s="10">
        <f t="shared" ca="1" si="0"/>
        <v>62</v>
      </c>
      <c r="C31" s="5">
        <f t="shared" ca="1" si="1"/>
        <v>10.540000000000001</v>
      </c>
    </row>
    <row r="32" spans="1:3" ht="13.5" thickBot="1">
      <c r="A32" s="3">
        <v>1023652146</v>
      </c>
      <c r="B32" s="10">
        <f t="shared" ca="1" si="0"/>
        <v>197</v>
      </c>
      <c r="C32" s="5">
        <f t="shared" ca="1" si="1"/>
        <v>33.49</v>
      </c>
    </row>
    <row r="33" spans="1:3" ht="13.5" thickBot="1">
      <c r="A33" s="3">
        <f>A32+13</f>
        <v>1023652159</v>
      </c>
      <c r="B33" s="10">
        <f t="shared" ca="1" si="0"/>
        <v>350</v>
      </c>
      <c r="C33" s="5">
        <f t="shared" ca="1" si="1"/>
        <v>59.500000000000007</v>
      </c>
    </row>
    <row r="34" spans="1:3" ht="13.5" thickBot="1">
      <c r="A34" s="3">
        <v>1023652147</v>
      </c>
      <c r="B34" s="10">
        <f t="shared" ca="1" si="0"/>
        <v>148</v>
      </c>
      <c r="C34" s="5">
        <f t="shared" ca="1" si="1"/>
        <v>25.16</v>
      </c>
    </row>
    <row r="35" spans="1:3" ht="13.5" thickBot="1">
      <c r="A35" s="3">
        <f>A34+13</f>
        <v>1023652160</v>
      </c>
      <c r="B35" s="10">
        <f t="shared" ca="1" si="0"/>
        <v>327</v>
      </c>
      <c r="C35" s="5">
        <f t="shared" ca="1" si="1"/>
        <v>55.59</v>
      </c>
    </row>
    <row r="36" spans="1:3" ht="13.5" thickBot="1">
      <c r="A36" s="3">
        <v>1023652148</v>
      </c>
      <c r="B36" s="10">
        <f t="shared" ca="1" si="0"/>
        <v>52</v>
      </c>
      <c r="C36" s="5">
        <f t="shared" ca="1" si="1"/>
        <v>8.84</v>
      </c>
    </row>
    <row r="37" spans="1:3" ht="13.5" thickBot="1">
      <c r="A37" s="3">
        <f>A36+13</f>
        <v>1023652161</v>
      </c>
      <c r="B37" s="10">
        <f t="shared" ca="1" si="0"/>
        <v>373</v>
      </c>
      <c r="C37" s="5">
        <f t="shared" ca="1" si="1"/>
        <v>63.410000000000004</v>
      </c>
    </row>
    <row r="38" spans="1:3" ht="13.5" thickBot="1">
      <c r="A38" s="3">
        <v>1023652149</v>
      </c>
      <c r="B38" s="10">
        <f t="shared" ca="1" si="0"/>
        <v>113</v>
      </c>
      <c r="C38" s="5">
        <f t="shared" ca="1" si="1"/>
        <v>19.21</v>
      </c>
    </row>
    <row r="39" spans="1:3" ht="13.5" thickBot="1">
      <c r="A39" s="3">
        <f>A38+13</f>
        <v>1023652162</v>
      </c>
      <c r="B39" s="10">
        <f t="shared" ca="1" si="0"/>
        <v>109</v>
      </c>
      <c r="C39" s="5">
        <f t="shared" ca="1" si="1"/>
        <v>18.53</v>
      </c>
    </row>
    <row r="40" spans="1:3" ht="13.5" thickBot="1">
      <c r="A40" s="3">
        <v>1023652150</v>
      </c>
      <c r="B40" s="10">
        <f t="shared" ca="1" si="0"/>
        <v>311</v>
      </c>
      <c r="C40" s="5">
        <f t="shared" ca="1" si="1"/>
        <v>52.870000000000005</v>
      </c>
    </row>
    <row r="41" spans="1:3" ht="13.5" thickBot="1">
      <c r="A41" s="3">
        <f>A40+13</f>
        <v>1023652163</v>
      </c>
      <c r="B41" s="10">
        <f t="shared" ca="1" si="0"/>
        <v>220</v>
      </c>
      <c r="C41" s="5">
        <f t="shared" ca="1" si="1"/>
        <v>37.400000000000006</v>
      </c>
    </row>
    <row r="42" spans="1:3" ht="13.5" thickBot="1">
      <c r="A42" s="3">
        <v>1023652151</v>
      </c>
      <c r="B42" s="10">
        <f t="shared" ca="1" si="0"/>
        <v>328</v>
      </c>
      <c r="C42" s="5">
        <f t="shared" ca="1" si="1"/>
        <v>55.760000000000005</v>
      </c>
    </row>
    <row r="43" spans="1:3" ht="13.5" thickBot="1">
      <c r="A43" s="3">
        <f>A42+13</f>
        <v>1023652164</v>
      </c>
      <c r="B43" s="10">
        <f t="shared" ca="1" si="0"/>
        <v>225</v>
      </c>
      <c r="C43" s="5">
        <f t="shared" ca="1" si="1"/>
        <v>38.25</v>
      </c>
    </row>
    <row r="44" spans="1:3" ht="13.5" thickBot="1">
      <c r="A44" s="3">
        <v>1023652152</v>
      </c>
      <c r="B44" s="10">
        <f t="shared" ca="1" si="0"/>
        <v>110</v>
      </c>
      <c r="C44" s="5">
        <f t="shared" ca="1" si="1"/>
        <v>18.700000000000003</v>
      </c>
    </row>
    <row r="45" spans="1:3" ht="13.5" thickBot="1">
      <c r="A45" s="3">
        <f>A44+13</f>
        <v>1023652165</v>
      </c>
      <c r="B45" s="10">
        <f t="shared" ca="1" si="0"/>
        <v>226</v>
      </c>
      <c r="C45" s="5">
        <f t="shared" ca="1" si="1"/>
        <v>38.42</v>
      </c>
    </row>
    <row r="46" spans="1:3" ht="13.5" thickBot="1">
      <c r="A46" s="3">
        <v>1023652153</v>
      </c>
      <c r="B46" s="10">
        <f t="shared" ca="1" si="0"/>
        <v>268</v>
      </c>
      <c r="C46" s="5">
        <f t="shared" ca="1" si="1"/>
        <v>45.56</v>
      </c>
    </row>
    <row r="47" spans="1:3" ht="13.5" thickBot="1">
      <c r="A47" s="3">
        <f>A46+13</f>
        <v>1023652166</v>
      </c>
      <c r="B47" s="10">
        <f t="shared" ca="1" si="0"/>
        <v>385</v>
      </c>
      <c r="C47" s="5">
        <f t="shared" ca="1" si="1"/>
        <v>65.45</v>
      </c>
    </row>
    <row r="48" spans="1:3" ht="13.5" thickBot="1">
      <c r="A48" s="3">
        <v>1023652154</v>
      </c>
      <c r="B48" s="10">
        <f t="shared" ca="1" si="0"/>
        <v>268</v>
      </c>
      <c r="C48" s="5">
        <f t="shared" ca="1" si="1"/>
        <v>45.56</v>
      </c>
    </row>
    <row r="49" spans="1:3" ht="13.5" thickBot="1">
      <c r="A49" s="3">
        <f>A48+13</f>
        <v>1023652167</v>
      </c>
      <c r="B49" s="10">
        <f t="shared" ca="1" si="0"/>
        <v>193</v>
      </c>
      <c r="C49" s="5">
        <f t="shared" ca="1" si="1"/>
        <v>32.81</v>
      </c>
    </row>
    <row r="50" spans="1:3" ht="13.5" thickBot="1">
      <c r="A50" s="3">
        <v>1023652155</v>
      </c>
      <c r="B50" s="10">
        <f t="shared" ca="1" si="0"/>
        <v>223</v>
      </c>
      <c r="C50" s="5">
        <f t="shared" ca="1" si="1"/>
        <v>37.910000000000004</v>
      </c>
    </row>
    <row r="51" spans="1:3" ht="13.5" thickBot="1">
      <c r="A51" s="3">
        <f>A50+13</f>
        <v>1023652168</v>
      </c>
      <c r="B51" s="10">
        <f t="shared" ca="1" si="0"/>
        <v>204</v>
      </c>
      <c r="C51" s="5">
        <f t="shared" ca="1" si="1"/>
        <v>34.68</v>
      </c>
    </row>
    <row r="52" spans="1:3" ht="13.5" thickBot="1">
      <c r="A52" s="3">
        <v>1023652156</v>
      </c>
      <c r="B52" s="10">
        <f t="shared" ca="1" si="0"/>
        <v>414</v>
      </c>
      <c r="C52" s="5">
        <f t="shared" ca="1" si="1"/>
        <v>70.38000000000001</v>
      </c>
    </row>
    <row r="53" spans="1:3" ht="13.5" thickBot="1">
      <c r="A53" s="3">
        <f>A52+13</f>
        <v>1023652169</v>
      </c>
      <c r="B53" s="10">
        <f t="shared" ca="1" si="0"/>
        <v>301</v>
      </c>
      <c r="C53" s="5">
        <f t="shared" ca="1" si="1"/>
        <v>51.17</v>
      </c>
    </row>
    <row r="54" spans="1:3" ht="13.5" thickBot="1">
      <c r="A54" s="3">
        <v>1023652157</v>
      </c>
      <c r="B54" s="10">
        <f t="shared" ca="1" si="0"/>
        <v>72</v>
      </c>
      <c r="C54" s="5">
        <f t="shared" ca="1" si="1"/>
        <v>12.24</v>
      </c>
    </row>
    <row r="55" spans="1:3" ht="13.5" thickBot="1">
      <c r="A55" s="3">
        <f>A54+13</f>
        <v>1023652170</v>
      </c>
      <c r="B55" s="10">
        <f t="shared" ca="1" si="0"/>
        <v>282</v>
      </c>
      <c r="C55" s="5">
        <f t="shared" ca="1" si="1"/>
        <v>47.940000000000005</v>
      </c>
    </row>
    <row r="56" spans="1:3" ht="13.5" thickBot="1">
      <c r="A56" s="3">
        <v>1023652158</v>
      </c>
      <c r="B56" s="10">
        <f t="shared" ca="1" si="0"/>
        <v>56</v>
      </c>
      <c r="C56" s="5">
        <f t="shared" ca="1" si="1"/>
        <v>9.5200000000000014</v>
      </c>
    </row>
    <row r="57" spans="1:3" ht="13.5" thickBot="1">
      <c r="A57" s="3">
        <f>A56+13</f>
        <v>1023652171</v>
      </c>
      <c r="B57" s="10">
        <f t="shared" ca="1" si="0"/>
        <v>348</v>
      </c>
      <c r="C57" s="5">
        <f t="shared" ca="1" si="1"/>
        <v>59.160000000000004</v>
      </c>
    </row>
    <row r="58" spans="1:3" ht="13.5" thickBot="1">
      <c r="A58" s="3">
        <v>1023652159</v>
      </c>
      <c r="B58" s="10">
        <f t="shared" ca="1" si="0"/>
        <v>171</v>
      </c>
      <c r="C58" s="5">
        <f t="shared" ca="1" si="1"/>
        <v>29.070000000000004</v>
      </c>
    </row>
    <row r="59" spans="1:3" ht="13.5" thickBot="1">
      <c r="A59" s="3">
        <f>A58+13</f>
        <v>1023652172</v>
      </c>
      <c r="B59" s="10">
        <f t="shared" ca="1" si="0"/>
        <v>363</v>
      </c>
      <c r="C59" s="5">
        <f t="shared" ca="1" si="1"/>
        <v>61.710000000000008</v>
      </c>
    </row>
    <row r="60" spans="1:3" ht="13.5" thickBot="1">
      <c r="A60" s="3">
        <v>1023652160</v>
      </c>
      <c r="B60" s="10">
        <f t="shared" ca="1" si="0"/>
        <v>177</v>
      </c>
      <c r="C60" s="5">
        <f t="shared" ca="1" si="1"/>
        <v>30.090000000000003</v>
      </c>
    </row>
    <row r="61" spans="1:3" ht="13.5" thickBot="1">
      <c r="A61" s="3">
        <f>A60+13</f>
        <v>1023652173</v>
      </c>
      <c r="B61" s="10">
        <f t="shared" ca="1" si="0"/>
        <v>143</v>
      </c>
      <c r="C61" s="5">
        <f t="shared" ca="1" si="1"/>
        <v>24.310000000000002</v>
      </c>
    </row>
    <row r="62" spans="1:3" ht="13.5" thickBot="1">
      <c r="A62" s="3">
        <v>1023652161</v>
      </c>
      <c r="B62" s="10">
        <f t="shared" ca="1" si="0"/>
        <v>83</v>
      </c>
      <c r="C62" s="5">
        <f t="shared" ca="1" si="1"/>
        <v>14.110000000000001</v>
      </c>
    </row>
    <row r="63" spans="1:3" ht="13.5" thickBot="1">
      <c r="A63" s="3">
        <f>A62+13</f>
        <v>1023652174</v>
      </c>
      <c r="B63" s="10">
        <f t="shared" ca="1" si="0"/>
        <v>53</v>
      </c>
      <c r="C63" s="5">
        <f t="shared" ca="1" si="1"/>
        <v>9.01</v>
      </c>
    </row>
    <row r="64" spans="1:3" ht="13.5" thickBot="1">
      <c r="A64" s="3">
        <v>1023652162</v>
      </c>
      <c r="B64" s="10">
        <f t="shared" ca="1" si="0"/>
        <v>348</v>
      </c>
      <c r="C64" s="5">
        <f t="shared" ca="1" si="1"/>
        <v>59.160000000000004</v>
      </c>
    </row>
    <row r="65" spans="1:3" ht="13.5" thickBot="1">
      <c r="A65" s="3">
        <f>A64+13</f>
        <v>1023652175</v>
      </c>
      <c r="B65" s="10">
        <f t="shared" ca="1" si="0"/>
        <v>405</v>
      </c>
      <c r="C65" s="5">
        <f t="shared" ca="1" si="1"/>
        <v>68.850000000000009</v>
      </c>
    </row>
    <row r="66" spans="1:3" ht="13.5" thickBot="1">
      <c r="A66" s="3">
        <v>1023652163</v>
      </c>
      <c r="B66" s="10">
        <f t="shared" ca="1" si="0"/>
        <v>319</v>
      </c>
      <c r="C66" s="5">
        <f t="shared" ca="1" si="1"/>
        <v>54.230000000000004</v>
      </c>
    </row>
    <row r="67" spans="1:3" ht="13.5" thickBot="1">
      <c r="A67" s="3">
        <f>A66+13</f>
        <v>1023652176</v>
      </c>
      <c r="B67" s="10">
        <f t="shared" ca="1" si="0"/>
        <v>32</v>
      </c>
      <c r="C67" s="5">
        <f t="shared" ca="1" si="1"/>
        <v>5.44</v>
      </c>
    </row>
    <row r="68" spans="1:3" ht="13.5" thickBot="1">
      <c r="A68" s="3">
        <v>1023652164</v>
      </c>
      <c r="B68" s="10">
        <f t="shared" ca="1" si="0"/>
        <v>214</v>
      </c>
      <c r="C68" s="5">
        <f t="shared" ca="1" si="1"/>
        <v>36.380000000000003</v>
      </c>
    </row>
    <row r="69" spans="1:3" ht="13.5" thickBot="1">
      <c r="A69" s="3">
        <f>A68+13</f>
        <v>1023652177</v>
      </c>
      <c r="B69" s="10">
        <f t="shared" ca="1" si="0"/>
        <v>202</v>
      </c>
      <c r="C69" s="5">
        <f t="shared" ca="1" si="1"/>
        <v>34.340000000000003</v>
      </c>
    </row>
    <row r="70" spans="1:3" ht="13.5" thickBot="1">
      <c r="A70" s="3">
        <v>1023652165</v>
      </c>
      <c r="B70" s="10">
        <f t="shared" ca="1" si="0"/>
        <v>45</v>
      </c>
      <c r="C70" s="5">
        <f t="shared" ca="1" si="1"/>
        <v>7.65</v>
      </c>
    </row>
    <row r="71" spans="1:3" ht="13.5" thickBot="1">
      <c r="A71" s="3">
        <f>A70+13</f>
        <v>1023652178</v>
      </c>
      <c r="B71" s="10">
        <f t="shared" ca="1" si="0"/>
        <v>59</v>
      </c>
      <c r="C71" s="5">
        <f t="shared" ca="1" si="1"/>
        <v>10.030000000000001</v>
      </c>
    </row>
    <row r="72" spans="1:3" ht="13.5" thickBot="1">
      <c r="A72" s="3">
        <v>1023652166</v>
      </c>
      <c r="B72" s="10">
        <f t="shared" ca="1" si="0"/>
        <v>330</v>
      </c>
      <c r="C72" s="5">
        <f t="shared" ca="1" si="1"/>
        <v>56.1</v>
      </c>
    </row>
    <row r="73" spans="1:3" ht="13.5" thickBot="1">
      <c r="A73" s="3">
        <f>A72+13</f>
        <v>1023652179</v>
      </c>
      <c r="B73" s="10">
        <f t="shared" ca="1" si="0"/>
        <v>69</v>
      </c>
      <c r="C73" s="5">
        <f t="shared" ca="1" si="1"/>
        <v>11.73</v>
      </c>
    </row>
    <row r="74" spans="1:3" ht="13.5" thickBot="1">
      <c r="A74" s="3">
        <v>1023652167</v>
      </c>
      <c r="B74" s="10">
        <f t="shared" ca="1" si="0"/>
        <v>300</v>
      </c>
      <c r="C74" s="5">
        <f t="shared" ca="1" si="1"/>
        <v>51.000000000000007</v>
      </c>
    </row>
    <row r="75" spans="1:3" ht="13.5" thickBot="1">
      <c r="A75" s="3">
        <f>A74+13</f>
        <v>1023652180</v>
      </c>
      <c r="B75" s="10">
        <f t="shared" ref="B75:B138" ca="1" si="2">ROUND(RAND()*400+20,0)</f>
        <v>302</v>
      </c>
      <c r="C75" s="5">
        <f t="shared" ref="C75:C138" ca="1" si="3">B75*0.17</f>
        <v>51.34</v>
      </c>
    </row>
    <row r="76" spans="1:3" ht="13.5" thickBot="1">
      <c r="A76" s="3">
        <v>1023652168</v>
      </c>
      <c r="B76" s="10">
        <f t="shared" ca="1" si="2"/>
        <v>140</v>
      </c>
      <c r="C76" s="5">
        <f t="shared" ca="1" si="3"/>
        <v>23.8</v>
      </c>
    </row>
    <row r="77" spans="1:3" ht="13.5" thickBot="1">
      <c r="A77" s="3">
        <f>A76+13</f>
        <v>1023652181</v>
      </c>
      <c r="B77" s="10">
        <f t="shared" ca="1" si="2"/>
        <v>220</v>
      </c>
      <c r="C77" s="5">
        <f t="shared" ca="1" si="3"/>
        <v>37.400000000000006</v>
      </c>
    </row>
    <row r="78" spans="1:3" ht="13.5" thickBot="1">
      <c r="A78" s="3">
        <v>1023652169</v>
      </c>
      <c r="B78" s="10">
        <f t="shared" ca="1" si="2"/>
        <v>287</v>
      </c>
      <c r="C78" s="5">
        <f t="shared" ca="1" si="3"/>
        <v>48.790000000000006</v>
      </c>
    </row>
    <row r="79" spans="1:3" ht="13.5" thickBot="1">
      <c r="A79" s="3">
        <f>A78+13</f>
        <v>1023652182</v>
      </c>
      <c r="B79" s="10">
        <f t="shared" ca="1" si="2"/>
        <v>45</v>
      </c>
      <c r="C79" s="5">
        <f t="shared" ca="1" si="3"/>
        <v>7.65</v>
      </c>
    </row>
    <row r="80" spans="1:3" ht="13.5" thickBot="1">
      <c r="A80" s="3">
        <v>1023652170</v>
      </c>
      <c r="B80" s="10">
        <f t="shared" ca="1" si="2"/>
        <v>98</v>
      </c>
      <c r="C80" s="5">
        <f t="shared" ca="1" si="3"/>
        <v>16.66</v>
      </c>
    </row>
    <row r="81" spans="1:3" ht="13.5" thickBot="1">
      <c r="A81" s="3">
        <f>A80+13</f>
        <v>1023652183</v>
      </c>
      <c r="B81" s="10">
        <f t="shared" ca="1" si="2"/>
        <v>112</v>
      </c>
      <c r="C81" s="5">
        <f t="shared" ca="1" si="3"/>
        <v>19.040000000000003</v>
      </c>
    </row>
    <row r="82" spans="1:3" ht="13.5" thickBot="1">
      <c r="A82" s="3">
        <v>1023652171</v>
      </c>
      <c r="B82" s="10">
        <f t="shared" ca="1" si="2"/>
        <v>231</v>
      </c>
      <c r="C82" s="5">
        <f t="shared" ca="1" si="3"/>
        <v>39.270000000000003</v>
      </c>
    </row>
    <row r="83" spans="1:3" ht="13.5" thickBot="1">
      <c r="A83" s="3">
        <f>A82+13</f>
        <v>1023652184</v>
      </c>
      <c r="B83" s="10">
        <f t="shared" ca="1" si="2"/>
        <v>254</v>
      </c>
      <c r="C83" s="5">
        <f t="shared" ca="1" si="3"/>
        <v>43.18</v>
      </c>
    </row>
    <row r="84" spans="1:3" ht="13.5" thickBot="1">
      <c r="A84" s="3">
        <v>1023652172</v>
      </c>
      <c r="B84" s="10">
        <f t="shared" ca="1" si="2"/>
        <v>305</v>
      </c>
      <c r="C84" s="5">
        <f t="shared" ca="1" si="3"/>
        <v>51.85</v>
      </c>
    </row>
    <row r="85" spans="1:3" ht="13.5" thickBot="1">
      <c r="A85" s="3">
        <f>A84+13</f>
        <v>1023652185</v>
      </c>
      <c r="B85" s="10">
        <f t="shared" ca="1" si="2"/>
        <v>234</v>
      </c>
      <c r="C85" s="5">
        <f t="shared" ca="1" si="3"/>
        <v>39.78</v>
      </c>
    </row>
    <row r="86" spans="1:3" ht="13.5" thickBot="1">
      <c r="A86" s="3">
        <v>1023652173</v>
      </c>
      <c r="B86" s="10">
        <f t="shared" ca="1" si="2"/>
        <v>212</v>
      </c>
      <c r="C86" s="5">
        <f t="shared" ca="1" si="3"/>
        <v>36.04</v>
      </c>
    </row>
    <row r="87" spans="1:3" ht="13.5" thickBot="1">
      <c r="A87" s="3">
        <f>A86+13</f>
        <v>1023652186</v>
      </c>
      <c r="B87" s="10">
        <f t="shared" ca="1" si="2"/>
        <v>39</v>
      </c>
      <c r="C87" s="5">
        <f t="shared" ca="1" si="3"/>
        <v>6.6300000000000008</v>
      </c>
    </row>
    <row r="88" spans="1:3" ht="13.5" thickBot="1">
      <c r="A88" s="3">
        <v>1023652174</v>
      </c>
      <c r="B88" s="10">
        <f t="shared" ca="1" si="2"/>
        <v>103</v>
      </c>
      <c r="C88" s="5">
        <f t="shared" ca="1" si="3"/>
        <v>17.510000000000002</v>
      </c>
    </row>
    <row r="89" spans="1:3" ht="13.5" thickBot="1">
      <c r="A89" s="3">
        <f>A88+13</f>
        <v>1023652187</v>
      </c>
      <c r="B89" s="10">
        <f t="shared" ca="1" si="2"/>
        <v>226</v>
      </c>
      <c r="C89" s="5">
        <f t="shared" ca="1" si="3"/>
        <v>38.42</v>
      </c>
    </row>
    <row r="90" spans="1:3" ht="13.5" thickBot="1">
      <c r="A90" s="3">
        <v>1023652175</v>
      </c>
      <c r="B90" s="10">
        <f t="shared" ca="1" si="2"/>
        <v>369</v>
      </c>
      <c r="C90" s="5">
        <f t="shared" ca="1" si="3"/>
        <v>62.730000000000004</v>
      </c>
    </row>
    <row r="91" spans="1:3" ht="13.5" thickBot="1">
      <c r="A91" s="3">
        <f>A90+13</f>
        <v>1023652188</v>
      </c>
      <c r="B91" s="10">
        <f t="shared" ca="1" si="2"/>
        <v>382</v>
      </c>
      <c r="C91" s="5">
        <f t="shared" ca="1" si="3"/>
        <v>64.94</v>
      </c>
    </row>
    <row r="92" spans="1:3" ht="13.5" thickBot="1">
      <c r="A92" s="3">
        <v>1023652176</v>
      </c>
      <c r="B92" s="10">
        <f t="shared" ca="1" si="2"/>
        <v>63</v>
      </c>
      <c r="C92" s="5">
        <f t="shared" ca="1" si="3"/>
        <v>10.71</v>
      </c>
    </row>
    <row r="93" spans="1:3" ht="13.5" thickBot="1">
      <c r="A93" s="3">
        <f>A92+13</f>
        <v>1023652189</v>
      </c>
      <c r="B93" s="10">
        <f t="shared" ca="1" si="2"/>
        <v>50</v>
      </c>
      <c r="C93" s="5">
        <f t="shared" ca="1" si="3"/>
        <v>8.5</v>
      </c>
    </row>
    <row r="94" spans="1:3" ht="13.5" thickBot="1">
      <c r="A94" s="3">
        <v>1023652177</v>
      </c>
      <c r="B94" s="10">
        <f t="shared" ca="1" si="2"/>
        <v>293</v>
      </c>
      <c r="C94" s="5">
        <f t="shared" ca="1" si="3"/>
        <v>49.81</v>
      </c>
    </row>
    <row r="95" spans="1:3" ht="13.5" thickBot="1">
      <c r="A95" s="3">
        <f>A94+13</f>
        <v>1023652190</v>
      </c>
      <c r="B95" s="10">
        <f t="shared" ca="1" si="2"/>
        <v>413</v>
      </c>
      <c r="C95" s="5">
        <f t="shared" ca="1" si="3"/>
        <v>70.210000000000008</v>
      </c>
    </row>
    <row r="96" spans="1:3" ht="13.5" thickBot="1">
      <c r="A96" s="3">
        <v>1023652178</v>
      </c>
      <c r="B96" s="10">
        <f t="shared" ca="1" si="2"/>
        <v>192</v>
      </c>
      <c r="C96" s="5">
        <f t="shared" ca="1" si="3"/>
        <v>32.64</v>
      </c>
    </row>
    <row r="97" spans="1:3" ht="13.5" thickBot="1">
      <c r="A97" s="3">
        <f>A96+13</f>
        <v>1023652191</v>
      </c>
      <c r="B97" s="10">
        <f t="shared" ca="1" si="2"/>
        <v>132</v>
      </c>
      <c r="C97" s="5">
        <f t="shared" ca="1" si="3"/>
        <v>22.44</v>
      </c>
    </row>
    <row r="98" spans="1:3" ht="13.5" thickBot="1">
      <c r="A98" s="3">
        <v>1023652179</v>
      </c>
      <c r="B98" s="10">
        <f t="shared" ca="1" si="2"/>
        <v>323</v>
      </c>
      <c r="C98" s="5">
        <f t="shared" ca="1" si="3"/>
        <v>54.910000000000004</v>
      </c>
    </row>
    <row r="99" spans="1:3" ht="13.5" thickBot="1">
      <c r="A99" s="3">
        <f>A98+13</f>
        <v>1023652192</v>
      </c>
      <c r="B99" s="10">
        <f t="shared" ca="1" si="2"/>
        <v>120</v>
      </c>
      <c r="C99" s="5">
        <f t="shared" ca="1" si="3"/>
        <v>20.400000000000002</v>
      </c>
    </row>
    <row r="100" spans="1:3" ht="13.5" thickBot="1">
      <c r="A100" s="3">
        <v>1023652180</v>
      </c>
      <c r="B100" s="10">
        <f t="shared" ca="1" si="2"/>
        <v>382</v>
      </c>
      <c r="C100" s="5">
        <f t="shared" ca="1" si="3"/>
        <v>64.94</v>
      </c>
    </row>
    <row r="101" spans="1:3" ht="13.5" thickBot="1">
      <c r="A101" s="3">
        <f>A100+13</f>
        <v>1023652193</v>
      </c>
      <c r="B101" s="10">
        <f t="shared" ca="1" si="2"/>
        <v>119</v>
      </c>
      <c r="C101" s="5">
        <f t="shared" ca="1" si="3"/>
        <v>20.23</v>
      </c>
    </row>
    <row r="102" spans="1:3" ht="13.5" thickBot="1">
      <c r="A102" s="3">
        <v>1023652181</v>
      </c>
      <c r="B102" s="10">
        <f t="shared" ca="1" si="2"/>
        <v>60</v>
      </c>
      <c r="C102" s="5">
        <f t="shared" ca="1" si="3"/>
        <v>10.200000000000001</v>
      </c>
    </row>
    <row r="103" spans="1:3" ht="13.5" thickBot="1">
      <c r="A103" s="3">
        <f>A102+13</f>
        <v>1023652194</v>
      </c>
      <c r="B103" s="10">
        <f t="shared" ca="1" si="2"/>
        <v>25</v>
      </c>
      <c r="C103" s="5">
        <f t="shared" ca="1" si="3"/>
        <v>4.25</v>
      </c>
    </row>
    <row r="104" spans="1:3" ht="13.5" thickBot="1">
      <c r="A104" s="3">
        <v>1023652182</v>
      </c>
      <c r="B104" s="10">
        <f t="shared" ca="1" si="2"/>
        <v>226</v>
      </c>
      <c r="C104" s="5">
        <f t="shared" ca="1" si="3"/>
        <v>38.42</v>
      </c>
    </row>
    <row r="105" spans="1:3" ht="13.5" thickBot="1">
      <c r="A105" s="3">
        <f>A104+13</f>
        <v>1023652195</v>
      </c>
      <c r="B105" s="10">
        <f t="shared" ca="1" si="2"/>
        <v>56</v>
      </c>
      <c r="C105" s="5">
        <f t="shared" ca="1" si="3"/>
        <v>9.5200000000000014</v>
      </c>
    </row>
    <row r="106" spans="1:3" ht="13.5" thickBot="1">
      <c r="A106" s="3">
        <v>1023652183</v>
      </c>
      <c r="B106" s="10">
        <f t="shared" ca="1" si="2"/>
        <v>182</v>
      </c>
      <c r="C106" s="5">
        <f t="shared" ca="1" si="3"/>
        <v>30.94</v>
      </c>
    </row>
    <row r="107" spans="1:3" ht="13.5" thickBot="1">
      <c r="A107" s="3">
        <f>A106+13</f>
        <v>1023652196</v>
      </c>
      <c r="B107" s="10">
        <f t="shared" ca="1" si="2"/>
        <v>68</v>
      </c>
      <c r="C107" s="5">
        <f t="shared" ca="1" si="3"/>
        <v>11.56</v>
      </c>
    </row>
    <row r="108" spans="1:3" ht="13.5" thickBot="1">
      <c r="A108" s="3">
        <v>1023652184</v>
      </c>
      <c r="B108" s="10">
        <f t="shared" ca="1" si="2"/>
        <v>44</v>
      </c>
      <c r="C108" s="5">
        <f t="shared" ca="1" si="3"/>
        <v>7.48</v>
      </c>
    </row>
    <row r="109" spans="1:3" ht="13.5" thickBot="1">
      <c r="A109" s="3">
        <f>A108+13</f>
        <v>1023652197</v>
      </c>
      <c r="B109" s="10">
        <f t="shared" ca="1" si="2"/>
        <v>109</v>
      </c>
      <c r="C109" s="5">
        <f t="shared" ca="1" si="3"/>
        <v>18.53</v>
      </c>
    </row>
    <row r="110" spans="1:3" ht="13.5" thickBot="1">
      <c r="A110" s="3">
        <v>1023652185</v>
      </c>
      <c r="B110" s="10">
        <f t="shared" ca="1" si="2"/>
        <v>128</v>
      </c>
      <c r="C110" s="5">
        <f t="shared" ca="1" si="3"/>
        <v>21.76</v>
      </c>
    </row>
    <row r="111" spans="1:3" ht="13.5" thickBot="1">
      <c r="A111" s="3">
        <f>A110+13</f>
        <v>1023652198</v>
      </c>
      <c r="B111" s="10">
        <f t="shared" ca="1" si="2"/>
        <v>368</v>
      </c>
      <c r="C111" s="5">
        <f t="shared" ca="1" si="3"/>
        <v>62.56</v>
      </c>
    </row>
    <row r="112" spans="1:3" ht="13.5" thickBot="1">
      <c r="A112" s="3">
        <v>1023652186</v>
      </c>
      <c r="B112" s="10">
        <f t="shared" ca="1" si="2"/>
        <v>94</v>
      </c>
      <c r="C112" s="5">
        <f t="shared" ca="1" si="3"/>
        <v>15.98</v>
      </c>
    </row>
    <row r="113" spans="1:3" ht="13.5" thickBot="1">
      <c r="A113" s="3">
        <f>A112+13</f>
        <v>1023652199</v>
      </c>
      <c r="B113" s="10">
        <f t="shared" ca="1" si="2"/>
        <v>161</v>
      </c>
      <c r="C113" s="5">
        <f t="shared" ca="1" si="3"/>
        <v>27.37</v>
      </c>
    </row>
    <row r="114" spans="1:3" ht="13.5" thickBot="1">
      <c r="A114" s="3">
        <v>1023652187</v>
      </c>
      <c r="B114" s="10">
        <f t="shared" ca="1" si="2"/>
        <v>335</v>
      </c>
      <c r="C114" s="5">
        <f t="shared" ca="1" si="3"/>
        <v>56.95</v>
      </c>
    </row>
    <row r="115" spans="1:3" ht="13.5" thickBot="1">
      <c r="A115" s="3">
        <f>A114+13</f>
        <v>1023652200</v>
      </c>
      <c r="B115" s="10">
        <f t="shared" ca="1" si="2"/>
        <v>235</v>
      </c>
      <c r="C115" s="5">
        <f t="shared" ca="1" si="3"/>
        <v>39.950000000000003</v>
      </c>
    </row>
    <row r="116" spans="1:3" ht="13.5" thickBot="1">
      <c r="A116" s="3">
        <v>1023652188</v>
      </c>
      <c r="B116" s="10">
        <f t="shared" ca="1" si="2"/>
        <v>244</v>
      </c>
      <c r="C116" s="5">
        <f t="shared" ca="1" si="3"/>
        <v>41.480000000000004</v>
      </c>
    </row>
    <row r="117" spans="1:3" ht="13.5" thickBot="1">
      <c r="A117" s="3">
        <f>A116+13</f>
        <v>1023652201</v>
      </c>
      <c r="B117" s="10">
        <f t="shared" ca="1" si="2"/>
        <v>145</v>
      </c>
      <c r="C117" s="5">
        <f t="shared" ca="1" si="3"/>
        <v>24.650000000000002</v>
      </c>
    </row>
    <row r="118" spans="1:3" ht="13.5" thickBot="1">
      <c r="A118" s="3">
        <v>1023652189</v>
      </c>
      <c r="B118" s="10">
        <f t="shared" ca="1" si="2"/>
        <v>351</v>
      </c>
      <c r="C118" s="5">
        <f t="shared" ca="1" si="3"/>
        <v>59.67</v>
      </c>
    </row>
    <row r="119" spans="1:3" ht="13.5" thickBot="1">
      <c r="A119" s="3">
        <f>A118+13</f>
        <v>1023652202</v>
      </c>
      <c r="B119" s="10">
        <f t="shared" ca="1" si="2"/>
        <v>139</v>
      </c>
      <c r="C119" s="5">
        <f t="shared" ca="1" si="3"/>
        <v>23.630000000000003</v>
      </c>
    </row>
    <row r="120" spans="1:3" ht="13.5" thickBot="1">
      <c r="A120" s="3">
        <v>1023652190</v>
      </c>
      <c r="B120" s="10">
        <f t="shared" ca="1" si="2"/>
        <v>316</v>
      </c>
      <c r="C120" s="5">
        <f t="shared" ca="1" si="3"/>
        <v>53.720000000000006</v>
      </c>
    </row>
    <row r="121" spans="1:3" ht="13.5" thickBot="1">
      <c r="A121" s="3">
        <f>A120+13</f>
        <v>1023652203</v>
      </c>
      <c r="B121" s="10">
        <f t="shared" ca="1" si="2"/>
        <v>373</v>
      </c>
      <c r="C121" s="5">
        <f t="shared" ca="1" si="3"/>
        <v>63.410000000000004</v>
      </c>
    </row>
    <row r="122" spans="1:3" ht="13.5" thickBot="1">
      <c r="A122" s="3">
        <v>1023652191</v>
      </c>
      <c r="B122" s="10">
        <f t="shared" ca="1" si="2"/>
        <v>104</v>
      </c>
      <c r="C122" s="5">
        <f t="shared" ca="1" si="3"/>
        <v>17.68</v>
      </c>
    </row>
    <row r="123" spans="1:3" ht="13.5" thickBot="1">
      <c r="A123" s="3">
        <f>A122+13</f>
        <v>1023652204</v>
      </c>
      <c r="B123" s="10">
        <f t="shared" ca="1" si="2"/>
        <v>266</v>
      </c>
      <c r="C123" s="5">
        <f t="shared" ca="1" si="3"/>
        <v>45.220000000000006</v>
      </c>
    </row>
    <row r="124" spans="1:3" ht="13.5" thickBot="1">
      <c r="A124" s="3">
        <v>1023652192</v>
      </c>
      <c r="B124" s="10">
        <f t="shared" ca="1" si="2"/>
        <v>217</v>
      </c>
      <c r="C124" s="5">
        <f t="shared" ca="1" si="3"/>
        <v>36.89</v>
      </c>
    </row>
    <row r="125" spans="1:3" ht="13.5" thickBot="1">
      <c r="A125" s="3">
        <f>A124+13</f>
        <v>1023652205</v>
      </c>
      <c r="B125" s="10">
        <f t="shared" ca="1" si="2"/>
        <v>98</v>
      </c>
      <c r="C125" s="5">
        <f t="shared" ca="1" si="3"/>
        <v>16.66</v>
      </c>
    </row>
    <row r="126" spans="1:3" ht="13.5" thickBot="1">
      <c r="A126" s="3">
        <v>1023652193</v>
      </c>
      <c r="B126" s="10">
        <f t="shared" ca="1" si="2"/>
        <v>157</v>
      </c>
      <c r="C126" s="5">
        <f t="shared" ca="1" si="3"/>
        <v>26.69</v>
      </c>
    </row>
    <row r="127" spans="1:3" ht="13.5" thickBot="1">
      <c r="A127" s="3">
        <f>A126+13</f>
        <v>1023652206</v>
      </c>
      <c r="B127" s="10">
        <f t="shared" ca="1" si="2"/>
        <v>219</v>
      </c>
      <c r="C127" s="5">
        <f t="shared" ca="1" si="3"/>
        <v>37.230000000000004</v>
      </c>
    </row>
    <row r="128" spans="1:3" ht="13.5" thickBot="1">
      <c r="A128" s="3">
        <v>1023652194</v>
      </c>
      <c r="B128" s="10">
        <f t="shared" ca="1" si="2"/>
        <v>133</v>
      </c>
      <c r="C128" s="5">
        <f t="shared" ca="1" si="3"/>
        <v>22.610000000000003</v>
      </c>
    </row>
    <row r="129" spans="1:3" ht="13.5" thickBot="1">
      <c r="A129" s="3">
        <f>A128+13</f>
        <v>1023652207</v>
      </c>
      <c r="B129" s="10">
        <f t="shared" ca="1" si="2"/>
        <v>100</v>
      </c>
      <c r="C129" s="5">
        <f t="shared" ca="1" si="3"/>
        <v>17</v>
      </c>
    </row>
    <row r="130" spans="1:3" ht="13.5" thickBot="1">
      <c r="A130" s="3">
        <v>1023652195</v>
      </c>
      <c r="B130" s="10">
        <f t="shared" ca="1" si="2"/>
        <v>290</v>
      </c>
      <c r="C130" s="5">
        <f t="shared" ca="1" si="3"/>
        <v>49.300000000000004</v>
      </c>
    </row>
    <row r="131" spans="1:3" ht="13.5" thickBot="1">
      <c r="A131" s="3">
        <f>A130+13</f>
        <v>1023652208</v>
      </c>
      <c r="B131" s="10">
        <f t="shared" ca="1" si="2"/>
        <v>360</v>
      </c>
      <c r="C131" s="5">
        <f t="shared" ca="1" si="3"/>
        <v>61.2</v>
      </c>
    </row>
    <row r="132" spans="1:3" ht="13.5" thickBot="1">
      <c r="A132" s="3">
        <v>1023652196</v>
      </c>
      <c r="B132" s="10">
        <f t="shared" ca="1" si="2"/>
        <v>329</v>
      </c>
      <c r="C132" s="5">
        <f t="shared" ca="1" si="3"/>
        <v>55.930000000000007</v>
      </c>
    </row>
    <row r="133" spans="1:3" ht="13.5" thickBot="1">
      <c r="A133" s="3">
        <f>A132+13</f>
        <v>1023652209</v>
      </c>
      <c r="B133" s="10">
        <f t="shared" ca="1" si="2"/>
        <v>374</v>
      </c>
      <c r="C133" s="5">
        <f t="shared" ca="1" si="3"/>
        <v>63.580000000000005</v>
      </c>
    </row>
    <row r="134" spans="1:3" ht="13.5" thickBot="1">
      <c r="A134" s="3">
        <v>1023652197</v>
      </c>
      <c r="B134" s="10">
        <f t="shared" ca="1" si="2"/>
        <v>268</v>
      </c>
      <c r="C134" s="5">
        <f t="shared" ca="1" si="3"/>
        <v>45.56</v>
      </c>
    </row>
    <row r="135" spans="1:3" ht="13.5" thickBot="1">
      <c r="A135" s="3">
        <f>A134+13</f>
        <v>1023652210</v>
      </c>
      <c r="B135" s="10">
        <f t="shared" ca="1" si="2"/>
        <v>333</v>
      </c>
      <c r="C135" s="5">
        <f t="shared" ca="1" si="3"/>
        <v>56.610000000000007</v>
      </c>
    </row>
    <row r="136" spans="1:3" ht="13.5" thickBot="1">
      <c r="A136" s="3">
        <v>1023652198</v>
      </c>
      <c r="B136" s="10">
        <f t="shared" ca="1" si="2"/>
        <v>343</v>
      </c>
      <c r="C136" s="5">
        <f t="shared" ca="1" si="3"/>
        <v>58.31</v>
      </c>
    </row>
    <row r="137" spans="1:3" ht="13.5" thickBot="1">
      <c r="A137" s="3">
        <f>A136+13</f>
        <v>1023652211</v>
      </c>
      <c r="B137" s="10">
        <f t="shared" ca="1" si="2"/>
        <v>87</v>
      </c>
      <c r="C137" s="5">
        <f t="shared" ca="1" si="3"/>
        <v>14.790000000000001</v>
      </c>
    </row>
    <row r="138" spans="1:3" ht="13.5" thickBot="1">
      <c r="A138" s="3">
        <v>1023652199</v>
      </c>
      <c r="B138" s="10">
        <f t="shared" ca="1" si="2"/>
        <v>90</v>
      </c>
      <c r="C138" s="5">
        <f t="shared" ca="1" si="3"/>
        <v>15.3</v>
      </c>
    </row>
    <row r="139" spans="1:3" ht="13.5" thickBot="1">
      <c r="A139" s="3">
        <f>A138+13</f>
        <v>1023652212</v>
      </c>
      <c r="B139" s="10">
        <f t="shared" ref="B139:B200" ca="1" si="4">ROUND(RAND()*400+20,0)</f>
        <v>346</v>
      </c>
      <c r="C139" s="5">
        <f t="shared" ref="C139:C200" ca="1" si="5">B139*0.17</f>
        <v>58.820000000000007</v>
      </c>
    </row>
    <row r="140" spans="1:3" ht="13.5" thickBot="1">
      <c r="A140" s="3">
        <v>1023652200</v>
      </c>
      <c r="B140" s="10">
        <f t="shared" ca="1" si="4"/>
        <v>317</v>
      </c>
      <c r="C140" s="5">
        <f t="shared" ca="1" si="5"/>
        <v>53.89</v>
      </c>
    </row>
    <row r="141" spans="1:3" ht="13.5" thickBot="1">
      <c r="A141" s="3">
        <f>A140+13</f>
        <v>1023652213</v>
      </c>
      <c r="B141" s="10">
        <f t="shared" ca="1" si="4"/>
        <v>366</v>
      </c>
      <c r="C141" s="5">
        <f t="shared" ca="1" si="5"/>
        <v>62.220000000000006</v>
      </c>
    </row>
    <row r="142" spans="1:3" ht="13.5" thickBot="1">
      <c r="A142" s="3">
        <v>1023652201</v>
      </c>
      <c r="B142" s="10">
        <f t="shared" ca="1" si="4"/>
        <v>315</v>
      </c>
      <c r="C142" s="5">
        <f t="shared" ca="1" si="5"/>
        <v>53.550000000000004</v>
      </c>
    </row>
    <row r="143" spans="1:3" ht="13.5" thickBot="1">
      <c r="A143" s="3">
        <f>A142+13</f>
        <v>1023652214</v>
      </c>
      <c r="B143" s="10">
        <f t="shared" ca="1" si="4"/>
        <v>115</v>
      </c>
      <c r="C143" s="5">
        <f t="shared" ca="1" si="5"/>
        <v>19.55</v>
      </c>
    </row>
    <row r="144" spans="1:3" ht="13.5" thickBot="1">
      <c r="A144" s="3">
        <v>1023652202</v>
      </c>
      <c r="B144" s="10">
        <f t="shared" ca="1" si="4"/>
        <v>285</v>
      </c>
      <c r="C144" s="5">
        <f t="shared" ca="1" si="5"/>
        <v>48.45</v>
      </c>
    </row>
    <row r="145" spans="1:3" ht="13.5" thickBot="1">
      <c r="A145" s="3">
        <f>A144+13</f>
        <v>1023652215</v>
      </c>
      <c r="B145" s="10">
        <f t="shared" ca="1" si="4"/>
        <v>80</v>
      </c>
      <c r="C145" s="5">
        <f t="shared" ca="1" si="5"/>
        <v>13.600000000000001</v>
      </c>
    </row>
    <row r="146" spans="1:3" ht="13.5" thickBot="1">
      <c r="A146" s="3">
        <v>1023652203</v>
      </c>
      <c r="B146" s="10">
        <f t="shared" ca="1" si="4"/>
        <v>386</v>
      </c>
      <c r="C146" s="5">
        <f t="shared" ca="1" si="5"/>
        <v>65.62</v>
      </c>
    </row>
    <row r="147" spans="1:3" ht="13.5" thickBot="1">
      <c r="A147" s="3">
        <f>A146+13</f>
        <v>1023652216</v>
      </c>
      <c r="B147" s="10">
        <f t="shared" ca="1" si="4"/>
        <v>218</v>
      </c>
      <c r="C147" s="5">
        <f t="shared" ca="1" si="5"/>
        <v>37.06</v>
      </c>
    </row>
    <row r="148" spans="1:3" ht="13.5" thickBot="1">
      <c r="A148" s="3">
        <v>1023652204</v>
      </c>
      <c r="B148" s="10">
        <f t="shared" ca="1" si="4"/>
        <v>98</v>
      </c>
      <c r="C148" s="5">
        <f t="shared" ca="1" si="5"/>
        <v>16.66</v>
      </c>
    </row>
    <row r="149" spans="1:3" ht="13.5" thickBot="1">
      <c r="A149" s="3">
        <f>A148+13</f>
        <v>1023652217</v>
      </c>
      <c r="B149" s="10">
        <f t="shared" ca="1" si="4"/>
        <v>283</v>
      </c>
      <c r="C149" s="5">
        <f t="shared" ca="1" si="5"/>
        <v>48.110000000000007</v>
      </c>
    </row>
    <row r="150" spans="1:3" ht="13.5" thickBot="1">
      <c r="A150" s="3">
        <v>1023652205</v>
      </c>
      <c r="B150" s="10">
        <f t="shared" ca="1" si="4"/>
        <v>171</v>
      </c>
      <c r="C150" s="5">
        <f t="shared" ca="1" si="5"/>
        <v>29.070000000000004</v>
      </c>
    </row>
    <row r="151" spans="1:3" ht="13.5" thickBot="1">
      <c r="A151" s="3">
        <f>A150+13</f>
        <v>1023652218</v>
      </c>
      <c r="B151" s="10">
        <f t="shared" ca="1" si="4"/>
        <v>142</v>
      </c>
      <c r="C151" s="5">
        <f t="shared" ca="1" si="5"/>
        <v>24.14</v>
      </c>
    </row>
    <row r="152" spans="1:3" ht="13.5" thickBot="1">
      <c r="A152" s="3">
        <v>1023652206</v>
      </c>
      <c r="B152" s="10">
        <f t="shared" ca="1" si="4"/>
        <v>307</v>
      </c>
      <c r="C152" s="5">
        <f t="shared" ca="1" si="5"/>
        <v>52.190000000000005</v>
      </c>
    </row>
    <row r="153" spans="1:3" ht="13.5" thickBot="1">
      <c r="A153" s="3">
        <f>A152+13</f>
        <v>1023652219</v>
      </c>
      <c r="B153" s="10">
        <f t="shared" ca="1" si="4"/>
        <v>28</v>
      </c>
      <c r="C153" s="5">
        <f t="shared" ca="1" si="5"/>
        <v>4.7600000000000007</v>
      </c>
    </row>
    <row r="154" spans="1:3" ht="13.5" thickBot="1">
      <c r="A154" s="3">
        <v>1023652207</v>
      </c>
      <c r="B154" s="10">
        <f t="shared" ca="1" si="4"/>
        <v>187</v>
      </c>
      <c r="C154" s="5">
        <f t="shared" ca="1" si="5"/>
        <v>31.790000000000003</v>
      </c>
    </row>
    <row r="155" spans="1:3" ht="13.5" thickBot="1">
      <c r="A155" s="3">
        <f>A154+13</f>
        <v>1023652220</v>
      </c>
      <c r="B155" s="10">
        <f t="shared" ca="1" si="4"/>
        <v>283</v>
      </c>
      <c r="C155" s="5">
        <f t="shared" ca="1" si="5"/>
        <v>48.110000000000007</v>
      </c>
    </row>
    <row r="156" spans="1:3" ht="13.5" thickBot="1">
      <c r="A156" s="3">
        <v>1023652208</v>
      </c>
      <c r="B156" s="10">
        <f t="shared" ca="1" si="4"/>
        <v>123</v>
      </c>
      <c r="C156" s="5">
        <f t="shared" ca="1" si="5"/>
        <v>20.91</v>
      </c>
    </row>
    <row r="157" spans="1:3" ht="13.5" thickBot="1">
      <c r="A157" s="3">
        <f>A156+13</f>
        <v>1023652221</v>
      </c>
      <c r="B157" s="10">
        <f t="shared" ca="1" si="4"/>
        <v>229</v>
      </c>
      <c r="C157" s="5">
        <f t="shared" ca="1" si="5"/>
        <v>38.93</v>
      </c>
    </row>
    <row r="158" spans="1:3" ht="13.5" thickBot="1">
      <c r="A158" s="3">
        <v>1023652209</v>
      </c>
      <c r="B158" s="10">
        <f t="shared" ca="1" si="4"/>
        <v>384</v>
      </c>
      <c r="C158" s="5">
        <f t="shared" ca="1" si="5"/>
        <v>65.28</v>
      </c>
    </row>
    <row r="159" spans="1:3" ht="13.5" thickBot="1">
      <c r="A159" s="3">
        <f>A158+13</f>
        <v>1023652222</v>
      </c>
      <c r="B159" s="10">
        <f t="shared" ca="1" si="4"/>
        <v>358</v>
      </c>
      <c r="C159" s="5">
        <f t="shared" ca="1" si="5"/>
        <v>60.860000000000007</v>
      </c>
    </row>
    <row r="160" spans="1:3" ht="13.5" thickBot="1">
      <c r="A160" s="3">
        <v>1023652210</v>
      </c>
      <c r="B160" s="10">
        <f t="shared" ca="1" si="4"/>
        <v>113</v>
      </c>
      <c r="C160" s="5">
        <f t="shared" ca="1" si="5"/>
        <v>19.21</v>
      </c>
    </row>
    <row r="161" spans="1:3" ht="13.5" thickBot="1">
      <c r="A161" s="3">
        <f>A160+13</f>
        <v>1023652223</v>
      </c>
      <c r="B161" s="10">
        <f t="shared" ca="1" si="4"/>
        <v>229</v>
      </c>
      <c r="C161" s="5">
        <f t="shared" ca="1" si="5"/>
        <v>38.93</v>
      </c>
    </row>
    <row r="162" spans="1:3" ht="13.5" thickBot="1">
      <c r="A162" s="3">
        <v>1023652211</v>
      </c>
      <c r="B162" s="10">
        <f t="shared" ca="1" si="4"/>
        <v>289</v>
      </c>
      <c r="C162" s="5">
        <f t="shared" ca="1" si="5"/>
        <v>49.13</v>
      </c>
    </row>
    <row r="163" spans="1:3" ht="13.5" thickBot="1">
      <c r="A163" s="3">
        <f>A162+13</f>
        <v>1023652224</v>
      </c>
      <c r="B163" s="10">
        <f t="shared" ca="1" si="4"/>
        <v>300</v>
      </c>
      <c r="C163" s="5">
        <f t="shared" ca="1" si="5"/>
        <v>51.000000000000007</v>
      </c>
    </row>
    <row r="164" spans="1:3" ht="13.5" thickBot="1">
      <c r="A164" s="3">
        <v>1023652212</v>
      </c>
      <c r="B164" s="10">
        <f t="shared" ca="1" si="4"/>
        <v>138</v>
      </c>
      <c r="C164" s="5">
        <f t="shared" ca="1" si="5"/>
        <v>23.46</v>
      </c>
    </row>
    <row r="165" spans="1:3" ht="13.5" thickBot="1">
      <c r="A165" s="3">
        <f>A164+13</f>
        <v>1023652225</v>
      </c>
      <c r="B165" s="10">
        <f t="shared" ca="1" si="4"/>
        <v>308</v>
      </c>
      <c r="C165" s="5">
        <f t="shared" ca="1" si="5"/>
        <v>52.360000000000007</v>
      </c>
    </row>
    <row r="166" spans="1:3" ht="13.5" thickBot="1">
      <c r="A166" s="3">
        <v>1023652213</v>
      </c>
      <c r="B166" s="10">
        <f t="shared" ca="1" si="4"/>
        <v>361</v>
      </c>
      <c r="C166" s="5">
        <f t="shared" ca="1" si="5"/>
        <v>61.370000000000005</v>
      </c>
    </row>
    <row r="167" spans="1:3" ht="13.5" thickBot="1">
      <c r="A167" s="3">
        <f>A166+13</f>
        <v>1023652226</v>
      </c>
      <c r="B167" s="10">
        <f t="shared" ca="1" si="4"/>
        <v>85</v>
      </c>
      <c r="C167" s="5">
        <f t="shared" ca="1" si="5"/>
        <v>14.450000000000001</v>
      </c>
    </row>
    <row r="168" spans="1:3" ht="13.5" thickBot="1">
      <c r="A168" s="3">
        <v>1023652214</v>
      </c>
      <c r="B168" s="10">
        <f t="shared" ca="1" si="4"/>
        <v>170</v>
      </c>
      <c r="C168" s="5">
        <f t="shared" ca="1" si="5"/>
        <v>28.900000000000002</v>
      </c>
    </row>
    <row r="169" spans="1:3" ht="13.5" thickBot="1">
      <c r="A169" s="3">
        <f>A168+13</f>
        <v>1023652227</v>
      </c>
      <c r="B169" s="10">
        <f t="shared" ca="1" si="4"/>
        <v>392</v>
      </c>
      <c r="C169" s="5">
        <f t="shared" ca="1" si="5"/>
        <v>66.64</v>
      </c>
    </row>
    <row r="170" spans="1:3" ht="13.5" thickBot="1">
      <c r="A170" s="3">
        <v>1023652215</v>
      </c>
      <c r="B170" s="10">
        <f t="shared" ca="1" si="4"/>
        <v>294</v>
      </c>
      <c r="C170" s="5">
        <f t="shared" ca="1" si="5"/>
        <v>49.980000000000004</v>
      </c>
    </row>
    <row r="171" spans="1:3" ht="13.5" thickBot="1">
      <c r="A171" s="3">
        <f>A170+13</f>
        <v>1023652228</v>
      </c>
      <c r="B171" s="10">
        <f t="shared" ca="1" si="4"/>
        <v>117</v>
      </c>
      <c r="C171" s="5">
        <f t="shared" ca="1" si="5"/>
        <v>19.89</v>
      </c>
    </row>
    <row r="172" spans="1:3" ht="13.5" thickBot="1">
      <c r="A172" s="3">
        <v>1023652216</v>
      </c>
      <c r="B172" s="10">
        <f t="shared" ca="1" si="4"/>
        <v>258</v>
      </c>
      <c r="C172" s="5">
        <f t="shared" ca="1" si="5"/>
        <v>43.860000000000007</v>
      </c>
    </row>
    <row r="173" spans="1:3" ht="13.5" thickBot="1">
      <c r="A173" s="3">
        <f>A172+13</f>
        <v>1023652229</v>
      </c>
      <c r="B173" s="10">
        <f t="shared" ca="1" si="4"/>
        <v>406</v>
      </c>
      <c r="C173" s="5">
        <f t="shared" ca="1" si="5"/>
        <v>69.02000000000001</v>
      </c>
    </row>
    <row r="174" spans="1:3" ht="13.5" thickBot="1">
      <c r="A174" s="3">
        <v>1023652217</v>
      </c>
      <c r="B174" s="10">
        <f t="shared" ca="1" si="4"/>
        <v>358</v>
      </c>
      <c r="C174" s="5">
        <f t="shared" ca="1" si="5"/>
        <v>60.860000000000007</v>
      </c>
    </row>
    <row r="175" spans="1:3" ht="13.5" thickBot="1">
      <c r="A175" s="3">
        <f>A174+13</f>
        <v>1023652230</v>
      </c>
      <c r="B175" s="10">
        <f t="shared" ca="1" si="4"/>
        <v>323</v>
      </c>
      <c r="C175" s="5">
        <f t="shared" ca="1" si="5"/>
        <v>54.910000000000004</v>
      </c>
    </row>
    <row r="176" spans="1:3" ht="13.5" thickBot="1">
      <c r="A176" s="3">
        <v>1023652218</v>
      </c>
      <c r="B176" s="10">
        <f t="shared" ca="1" si="4"/>
        <v>172</v>
      </c>
      <c r="C176" s="5">
        <f t="shared" ca="1" si="5"/>
        <v>29.240000000000002</v>
      </c>
    </row>
    <row r="177" spans="1:3" ht="13.5" thickBot="1">
      <c r="A177" s="3">
        <f>A176+13</f>
        <v>1023652231</v>
      </c>
      <c r="B177" s="10">
        <f t="shared" ca="1" si="4"/>
        <v>362</v>
      </c>
      <c r="C177" s="5">
        <f t="shared" ca="1" si="5"/>
        <v>61.540000000000006</v>
      </c>
    </row>
    <row r="178" spans="1:3" ht="13.5" thickBot="1">
      <c r="A178" s="3">
        <v>1023652219</v>
      </c>
      <c r="B178" s="10">
        <f t="shared" ca="1" si="4"/>
        <v>95</v>
      </c>
      <c r="C178" s="5">
        <f t="shared" ca="1" si="5"/>
        <v>16.150000000000002</v>
      </c>
    </row>
    <row r="179" spans="1:3" ht="13.5" thickBot="1">
      <c r="A179" s="3">
        <f>A178+13</f>
        <v>1023652232</v>
      </c>
      <c r="B179" s="10">
        <f t="shared" ca="1" si="4"/>
        <v>230</v>
      </c>
      <c r="C179" s="5">
        <f t="shared" ca="1" si="5"/>
        <v>39.1</v>
      </c>
    </row>
    <row r="180" spans="1:3" ht="13.5" thickBot="1">
      <c r="A180" s="3">
        <v>1023652220</v>
      </c>
      <c r="B180" s="10">
        <f t="shared" ca="1" si="4"/>
        <v>292</v>
      </c>
      <c r="C180" s="5">
        <f t="shared" ca="1" si="5"/>
        <v>49.64</v>
      </c>
    </row>
    <row r="181" spans="1:3" ht="13.5" thickBot="1">
      <c r="A181" s="3">
        <f>A180+13</f>
        <v>1023652233</v>
      </c>
      <c r="B181" s="10">
        <f t="shared" ca="1" si="4"/>
        <v>244</v>
      </c>
      <c r="C181" s="5">
        <f t="shared" ca="1" si="5"/>
        <v>41.480000000000004</v>
      </c>
    </row>
    <row r="182" spans="1:3" ht="13.5" thickBot="1">
      <c r="A182" s="3">
        <v>1023652221</v>
      </c>
      <c r="B182" s="10">
        <f t="shared" ca="1" si="4"/>
        <v>234</v>
      </c>
      <c r="C182" s="5">
        <f t="shared" ca="1" si="5"/>
        <v>39.78</v>
      </c>
    </row>
    <row r="183" spans="1:3" ht="13.5" thickBot="1">
      <c r="A183" s="3">
        <f>A182+13</f>
        <v>1023652234</v>
      </c>
      <c r="B183" s="10">
        <f t="shared" ca="1" si="4"/>
        <v>62</v>
      </c>
      <c r="C183" s="5">
        <f t="shared" ca="1" si="5"/>
        <v>10.540000000000001</v>
      </c>
    </row>
    <row r="184" spans="1:3" ht="13.5" thickBot="1">
      <c r="A184" s="3">
        <v>1023652222</v>
      </c>
      <c r="B184" s="10">
        <f t="shared" ca="1" si="4"/>
        <v>68</v>
      </c>
      <c r="C184" s="5">
        <f t="shared" ca="1" si="5"/>
        <v>11.56</v>
      </c>
    </row>
    <row r="185" spans="1:3" ht="13.5" thickBot="1">
      <c r="A185" s="3">
        <f>A184+13</f>
        <v>1023652235</v>
      </c>
      <c r="B185" s="10">
        <f t="shared" ca="1" si="4"/>
        <v>411</v>
      </c>
      <c r="C185" s="5">
        <f t="shared" ca="1" si="5"/>
        <v>69.87</v>
      </c>
    </row>
    <row r="186" spans="1:3" ht="13.5" thickBot="1">
      <c r="A186" s="3">
        <v>1023652223</v>
      </c>
      <c r="B186" s="10">
        <f t="shared" ca="1" si="4"/>
        <v>263</v>
      </c>
      <c r="C186" s="5">
        <f t="shared" ca="1" si="5"/>
        <v>44.71</v>
      </c>
    </row>
    <row r="187" spans="1:3" ht="13.5" thickBot="1">
      <c r="A187" s="3">
        <f>A186+13</f>
        <v>1023652236</v>
      </c>
      <c r="B187" s="10">
        <f t="shared" ca="1" si="4"/>
        <v>253</v>
      </c>
      <c r="C187" s="5">
        <f t="shared" ca="1" si="5"/>
        <v>43.010000000000005</v>
      </c>
    </row>
    <row r="188" spans="1:3" ht="13.5" thickBot="1">
      <c r="A188" s="3">
        <v>1023652224</v>
      </c>
      <c r="B188" s="10">
        <f t="shared" ca="1" si="4"/>
        <v>287</v>
      </c>
      <c r="C188" s="5">
        <f t="shared" ca="1" si="5"/>
        <v>48.790000000000006</v>
      </c>
    </row>
    <row r="189" spans="1:3" ht="13.5" thickBot="1">
      <c r="A189" s="3">
        <f>A188+13</f>
        <v>1023652237</v>
      </c>
      <c r="B189" s="10">
        <f t="shared" ca="1" si="4"/>
        <v>193</v>
      </c>
      <c r="C189" s="5">
        <f t="shared" ca="1" si="5"/>
        <v>32.81</v>
      </c>
    </row>
    <row r="190" spans="1:3" ht="13.5" thickBot="1">
      <c r="A190" s="3">
        <v>1023652225</v>
      </c>
      <c r="B190" s="10">
        <f t="shared" ca="1" si="4"/>
        <v>344</v>
      </c>
      <c r="C190" s="5">
        <f t="shared" ca="1" si="5"/>
        <v>58.480000000000004</v>
      </c>
    </row>
    <row r="191" spans="1:3" ht="13.5" thickBot="1">
      <c r="A191" s="3">
        <f>A190+13</f>
        <v>1023652238</v>
      </c>
      <c r="B191" s="10">
        <f t="shared" ca="1" si="4"/>
        <v>382</v>
      </c>
      <c r="C191" s="5">
        <f t="shared" ca="1" si="5"/>
        <v>64.94</v>
      </c>
    </row>
    <row r="192" spans="1:3" ht="13.5" thickBot="1">
      <c r="A192" s="3">
        <v>1023652226</v>
      </c>
      <c r="B192" s="10">
        <f t="shared" ca="1" si="4"/>
        <v>271</v>
      </c>
      <c r="C192" s="5">
        <f t="shared" ca="1" si="5"/>
        <v>46.07</v>
      </c>
    </row>
    <row r="193" spans="1:3" ht="13.5" thickBot="1">
      <c r="A193" s="3">
        <f>A192+13</f>
        <v>1023652239</v>
      </c>
      <c r="B193" s="10">
        <f t="shared" ca="1" si="4"/>
        <v>36</v>
      </c>
      <c r="C193" s="5">
        <f t="shared" ca="1" si="5"/>
        <v>6.12</v>
      </c>
    </row>
    <row r="194" spans="1:3" ht="13.5" thickBot="1">
      <c r="A194" s="3">
        <v>1023652227</v>
      </c>
      <c r="B194" s="10">
        <f t="shared" ca="1" si="4"/>
        <v>320</v>
      </c>
      <c r="C194" s="5">
        <f t="shared" ca="1" si="5"/>
        <v>54.400000000000006</v>
      </c>
    </row>
    <row r="195" spans="1:3" ht="13.5" thickBot="1">
      <c r="A195" s="3">
        <f>A194+13</f>
        <v>1023652240</v>
      </c>
      <c r="B195" s="10">
        <f t="shared" ca="1" si="4"/>
        <v>40</v>
      </c>
      <c r="C195" s="5">
        <f t="shared" ca="1" si="5"/>
        <v>6.8000000000000007</v>
      </c>
    </row>
    <row r="196" spans="1:3" ht="13.5" thickBot="1">
      <c r="A196" s="3">
        <v>1023652228</v>
      </c>
      <c r="B196" s="10">
        <f t="shared" ca="1" si="4"/>
        <v>59</v>
      </c>
      <c r="C196" s="5">
        <f t="shared" ca="1" si="5"/>
        <v>10.030000000000001</v>
      </c>
    </row>
    <row r="197" spans="1:3" ht="13.5" thickBot="1">
      <c r="A197" s="3">
        <f>A196+13</f>
        <v>1023652241</v>
      </c>
      <c r="B197" s="10">
        <f t="shared" ca="1" si="4"/>
        <v>372</v>
      </c>
      <c r="C197" s="5">
        <f t="shared" ca="1" si="5"/>
        <v>63.24</v>
      </c>
    </row>
    <row r="198" spans="1:3" ht="13.5" thickBot="1">
      <c r="A198" s="3">
        <v>1023652229</v>
      </c>
      <c r="B198" s="10">
        <f t="shared" ca="1" si="4"/>
        <v>419</v>
      </c>
      <c r="C198" s="5">
        <f t="shared" ca="1" si="5"/>
        <v>71.23</v>
      </c>
    </row>
    <row r="199" spans="1:3" ht="13.5" thickBot="1">
      <c r="A199" s="3">
        <f>A198+13</f>
        <v>1023652242</v>
      </c>
      <c r="B199" s="10">
        <f t="shared" ca="1" si="4"/>
        <v>167</v>
      </c>
      <c r="C199" s="5">
        <f t="shared" ca="1" si="5"/>
        <v>28.39</v>
      </c>
    </row>
    <row r="200" spans="1:3">
      <c r="A200" s="3">
        <v>1023652230</v>
      </c>
      <c r="B200" s="10">
        <f t="shared" ca="1" si="4"/>
        <v>103</v>
      </c>
      <c r="C200" s="5">
        <f t="shared" ca="1" si="5"/>
        <v>17.510000000000002</v>
      </c>
    </row>
  </sheetData>
  <customSheetViews>
    <customSheetView guid="{3DF5E802-5CA5-43EF-BE6A-D6FCDA5F65F2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D215"/>
  <sheetViews>
    <sheetView topLeftCell="A172" workbookViewId="0">
      <selection activeCell="D212" sqref="D212:D215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7" t="s">
        <v>187</v>
      </c>
      <c r="B1" s="137"/>
    </row>
    <row r="2" spans="1:3" ht="18">
      <c r="A2" s="138">
        <f ca="1">ROUND(RAND()*19+11,0)</f>
        <v>15</v>
      </c>
      <c r="B2" s="138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189</v>
      </c>
      <c r="B9" s="94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1</v>
      </c>
      <c r="C10" s="5">
        <f ca="1">B10*21</f>
        <v>21</v>
      </c>
    </row>
    <row r="11" spans="1:3" ht="13.5" thickBot="1">
      <c r="A11" s="3">
        <f>A10+13</f>
        <v>1023652148</v>
      </c>
      <c r="B11" s="10">
        <f t="shared" ref="B11:B74" ca="1" si="0">ROUND(RAND()*6,0)</f>
        <v>6</v>
      </c>
      <c r="C11" s="5">
        <f t="shared" ref="C11:C74" ca="1" si="1">B11*21</f>
        <v>126</v>
      </c>
    </row>
    <row r="12" spans="1:3" ht="13.5" thickBot="1">
      <c r="A12" s="3">
        <v>1023652136</v>
      </c>
      <c r="B12" s="10">
        <f t="shared" ca="1" si="0"/>
        <v>1</v>
      </c>
      <c r="C12" s="5">
        <f t="shared" ca="1" si="1"/>
        <v>21</v>
      </c>
    </row>
    <row r="13" spans="1:3" ht="13.5" thickBot="1">
      <c r="A13" s="3">
        <f>A12+13</f>
        <v>1023652149</v>
      </c>
      <c r="B13" s="10">
        <f t="shared" ca="1" si="0"/>
        <v>1</v>
      </c>
      <c r="C13" s="5">
        <f t="shared" ca="1" si="1"/>
        <v>21</v>
      </c>
    </row>
    <row r="14" spans="1:3" ht="13.5" thickBot="1">
      <c r="A14" s="3">
        <v>1023652137</v>
      </c>
      <c r="B14" s="10">
        <f t="shared" ca="1" si="0"/>
        <v>5</v>
      </c>
      <c r="C14" s="5">
        <f t="shared" ca="1" si="1"/>
        <v>105</v>
      </c>
    </row>
    <row r="15" spans="1:3" ht="13.5" thickBot="1">
      <c r="A15" s="3">
        <f>A14+13</f>
        <v>1023652150</v>
      </c>
      <c r="B15" s="10">
        <f t="shared" ca="1" si="0"/>
        <v>2</v>
      </c>
      <c r="C15" s="5">
        <f t="shared" ca="1" si="1"/>
        <v>42</v>
      </c>
    </row>
    <row r="16" spans="1:3" ht="13.5" thickBot="1">
      <c r="A16" s="3">
        <v>1023652138</v>
      </c>
      <c r="B16" s="10">
        <f t="shared" ca="1" si="0"/>
        <v>2</v>
      </c>
      <c r="C16" s="5">
        <f t="shared" ca="1" si="1"/>
        <v>42</v>
      </c>
    </row>
    <row r="17" spans="1:3" ht="13.5" thickBot="1">
      <c r="A17" s="3">
        <f>A16+13</f>
        <v>1023652151</v>
      </c>
      <c r="B17" s="10">
        <f t="shared" ca="1" si="0"/>
        <v>6</v>
      </c>
      <c r="C17" s="5">
        <f t="shared" ca="1" si="1"/>
        <v>126</v>
      </c>
    </row>
    <row r="18" spans="1:3" ht="13.5" thickBot="1">
      <c r="A18" s="3">
        <v>1023652139</v>
      </c>
      <c r="B18" s="10">
        <f t="shared" ca="1" si="0"/>
        <v>2</v>
      </c>
      <c r="C18" s="5">
        <f t="shared" ca="1" si="1"/>
        <v>42</v>
      </c>
    </row>
    <row r="19" spans="1:3" ht="13.5" thickBot="1">
      <c r="A19" s="3">
        <f>A18+13</f>
        <v>1023652152</v>
      </c>
      <c r="B19" s="10">
        <f t="shared" ca="1" si="0"/>
        <v>6</v>
      </c>
      <c r="C19" s="5">
        <f t="shared" ca="1" si="1"/>
        <v>126</v>
      </c>
    </row>
    <row r="20" spans="1:3" ht="13.5" thickBot="1">
      <c r="A20" s="3">
        <v>1023652140</v>
      </c>
      <c r="B20" s="10">
        <f t="shared" ca="1" si="0"/>
        <v>4</v>
      </c>
      <c r="C20" s="5">
        <f t="shared" ca="1" si="1"/>
        <v>84</v>
      </c>
    </row>
    <row r="21" spans="1:3" ht="13.5" thickBot="1">
      <c r="A21" s="3">
        <f>A20+13</f>
        <v>1023652153</v>
      </c>
      <c r="B21" s="10">
        <f t="shared" ca="1" si="0"/>
        <v>0</v>
      </c>
      <c r="C21" s="5">
        <f t="shared" ca="1" si="1"/>
        <v>0</v>
      </c>
    </row>
    <row r="22" spans="1:3" ht="13.5" thickBot="1">
      <c r="A22" s="3">
        <v>1023652141</v>
      </c>
      <c r="B22" s="10">
        <f t="shared" ca="1" si="0"/>
        <v>0</v>
      </c>
      <c r="C22" s="5">
        <f t="shared" ca="1" si="1"/>
        <v>0</v>
      </c>
    </row>
    <row r="23" spans="1:3" ht="13.5" thickBot="1">
      <c r="A23" s="3">
        <f>A22+13</f>
        <v>1023652154</v>
      </c>
      <c r="B23" s="10">
        <f t="shared" ca="1" si="0"/>
        <v>3</v>
      </c>
      <c r="C23" s="5">
        <f t="shared" ca="1" si="1"/>
        <v>63</v>
      </c>
    </row>
    <row r="24" spans="1:3" ht="13.5" thickBot="1">
      <c r="A24" s="3">
        <v>1023652142</v>
      </c>
      <c r="B24" s="10">
        <f t="shared" ca="1" si="0"/>
        <v>6</v>
      </c>
      <c r="C24" s="5">
        <f t="shared" ca="1" si="1"/>
        <v>126</v>
      </c>
    </row>
    <row r="25" spans="1:3" ht="13.5" thickBot="1">
      <c r="A25" s="3">
        <f>A24+13</f>
        <v>1023652155</v>
      </c>
      <c r="B25" s="10">
        <f t="shared" ca="1" si="0"/>
        <v>5</v>
      </c>
      <c r="C25" s="5">
        <f t="shared" ca="1" si="1"/>
        <v>105</v>
      </c>
    </row>
    <row r="26" spans="1:3" ht="13.5" thickBot="1">
      <c r="A26" s="3">
        <v>1023652143</v>
      </c>
      <c r="B26" s="10">
        <f t="shared" ca="1" si="0"/>
        <v>4</v>
      </c>
      <c r="C26" s="5">
        <f t="shared" ca="1" si="1"/>
        <v>84</v>
      </c>
    </row>
    <row r="27" spans="1:3" ht="13.5" thickBot="1">
      <c r="A27" s="3">
        <f>A26+13</f>
        <v>1023652156</v>
      </c>
      <c r="B27" s="10">
        <f t="shared" ca="1" si="0"/>
        <v>5</v>
      </c>
      <c r="C27" s="5">
        <f t="shared" ca="1" si="1"/>
        <v>105</v>
      </c>
    </row>
    <row r="28" spans="1:3" ht="13.5" thickBot="1">
      <c r="A28" s="3">
        <v>1023652144</v>
      </c>
      <c r="B28" s="10">
        <f t="shared" ca="1" si="0"/>
        <v>3</v>
      </c>
      <c r="C28" s="5">
        <f t="shared" ca="1" si="1"/>
        <v>63</v>
      </c>
    </row>
    <row r="29" spans="1:3" ht="13.5" thickBot="1">
      <c r="A29" s="3">
        <f>A28+13</f>
        <v>1023652157</v>
      </c>
      <c r="B29" s="10">
        <f t="shared" ca="1" si="0"/>
        <v>5</v>
      </c>
      <c r="C29" s="5">
        <f t="shared" ca="1" si="1"/>
        <v>105</v>
      </c>
    </row>
    <row r="30" spans="1:3" ht="13.5" thickBot="1">
      <c r="A30" s="3">
        <v>1023652145</v>
      </c>
      <c r="B30" s="10">
        <f t="shared" ca="1" si="0"/>
        <v>2</v>
      </c>
      <c r="C30" s="5">
        <f t="shared" ca="1" si="1"/>
        <v>42</v>
      </c>
    </row>
    <row r="31" spans="1:3" ht="13.5" thickBot="1">
      <c r="A31" s="3">
        <f>A30+13</f>
        <v>1023652158</v>
      </c>
      <c r="B31" s="10">
        <f t="shared" ca="1" si="0"/>
        <v>3</v>
      </c>
      <c r="C31" s="5">
        <f t="shared" ca="1" si="1"/>
        <v>63</v>
      </c>
    </row>
    <row r="32" spans="1:3" ht="13.5" thickBot="1">
      <c r="A32" s="3">
        <v>1023652146</v>
      </c>
      <c r="B32" s="10">
        <f t="shared" ca="1" si="0"/>
        <v>5</v>
      </c>
      <c r="C32" s="5">
        <f t="shared" ca="1" si="1"/>
        <v>105</v>
      </c>
    </row>
    <row r="33" spans="1:3" ht="13.5" thickBot="1">
      <c r="A33" s="3">
        <f>A32+13</f>
        <v>1023652159</v>
      </c>
      <c r="B33" s="10">
        <f t="shared" ca="1" si="0"/>
        <v>0</v>
      </c>
      <c r="C33" s="5">
        <f t="shared" ca="1" si="1"/>
        <v>0</v>
      </c>
    </row>
    <row r="34" spans="1:3" ht="13.5" thickBot="1">
      <c r="A34" s="3">
        <v>1023652147</v>
      </c>
      <c r="B34" s="10">
        <f t="shared" ca="1" si="0"/>
        <v>4</v>
      </c>
      <c r="C34" s="5">
        <f t="shared" ca="1" si="1"/>
        <v>84</v>
      </c>
    </row>
    <row r="35" spans="1:3" ht="13.5" thickBot="1">
      <c r="A35" s="3">
        <f>A34+13</f>
        <v>1023652160</v>
      </c>
      <c r="B35" s="10">
        <f t="shared" ca="1" si="0"/>
        <v>2</v>
      </c>
      <c r="C35" s="5">
        <f t="shared" ca="1" si="1"/>
        <v>42</v>
      </c>
    </row>
    <row r="36" spans="1:3" ht="13.5" thickBot="1">
      <c r="A36" s="3">
        <v>1023652148</v>
      </c>
      <c r="B36" s="10">
        <f t="shared" ca="1" si="0"/>
        <v>3</v>
      </c>
      <c r="C36" s="5">
        <f t="shared" ca="1" si="1"/>
        <v>63</v>
      </c>
    </row>
    <row r="37" spans="1:3" ht="13.5" thickBot="1">
      <c r="A37" s="3">
        <f>A36+13</f>
        <v>1023652161</v>
      </c>
      <c r="B37" s="10">
        <f t="shared" ca="1" si="0"/>
        <v>1</v>
      </c>
      <c r="C37" s="5">
        <f t="shared" ca="1" si="1"/>
        <v>21</v>
      </c>
    </row>
    <row r="38" spans="1:3" ht="13.5" thickBot="1">
      <c r="A38" s="3">
        <v>1023652149</v>
      </c>
      <c r="B38" s="10">
        <f t="shared" ca="1" si="0"/>
        <v>6</v>
      </c>
      <c r="C38" s="5">
        <f t="shared" ca="1" si="1"/>
        <v>126</v>
      </c>
    </row>
    <row r="39" spans="1:3" ht="13.5" thickBot="1">
      <c r="A39" s="3">
        <f>A38+13</f>
        <v>1023652162</v>
      </c>
      <c r="B39" s="10">
        <f t="shared" ca="1" si="0"/>
        <v>3</v>
      </c>
      <c r="C39" s="5">
        <f t="shared" ca="1" si="1"/>
        <v>63</v>
      </c>
    </row>
    <row r="40" spans="1:3" ht="13.5" thickBot="1">
      <c r="A40" s="3">
        <v>1023652150</v>
      </c>
      <c r="B40" s="10">
        <f t="shared" ca="1" si="0"/>
        <v>4</v>
      </c>
      <c r="C40" s="5">
        <f t="shared" ca="1" si="1"/>
        <v>84</v>
      </c>
    </row>
    <row r="41" spans="1:3" ht="13.5" thickBot="1">
      <c r="A41" s="3">
        <f>A40+13</f>
        <v>1023652163</v>
      </c>
      <c r="B41" s="10">
        <f t="shared" ca="1" si="0"/>
        <v>4</v>
      </c>
      <c r="C41" s="5">
        <f t="shared" ca="1" si="1"/>
        <v>84</v>
      </c>
    </row>
    <row r="42" spans="1:3" ht="13.5" thickBot="1">
      <c r="A42" s="3">
        <v>1023652151</v>
      </c>
      <c r="B42" s="10">
        <f t="shared" ca="1" si="0"/>
        <v>2</v>
      </c>
      <c r="C42" s="5">
        <f t="shared" ca="1" si="1"/>
        <v>42</v>
      </c>
    </row>
    <row r="43" spans="1:3" ht="13.5" thickBot="1">
      <c r="A43" s="3">
        <f>A42+13</f>
        <v>1023652164</v>
      </c>
      <c r="B43" s="10">
        <f t="shared" ca="1" si="0"/>
        <v>4</v>
      </c>
      <c r="C43" s="5">
        <f t="shared" ca="1" si="1"/>
        <v>84</v>
      </c>
    </row>
    <row r="44" spans="1:3" ht="13.5" thickBot="1">
      <c r="A44" s="3">
        <v>1023652152</v>
      </c>
      <c r="B44" s="10">
        <f t="shared" ca="1" si="0"/>
        <v>2</v>
      </c>
      <c r="C44" s="5">
        <f t="shared" ca="1" si="1"/>
        <v>42</v>
      </c>
    </row>
    <row r="45" spans="1:3" ht="13.5" thickBot="1">
      <c r="A45" s="3">
        <f>A44+13</f>
        <v>1023652165</v>
      </c>
      <c r="B45" s="10">
        <f t="shared" ca="1" si="0"/>
        <v>3</v>
      </c>
      <c r="C45" s="5">
        <f t="shared" ca="1" si="1"/>
        <v>63</v>
      </c>
    </row>
    <row r="46" spans="1:3" ht="13.5" thickBot="1">
      <c r="A46" s="3">
        <v>1023652153</v>
      </c>
      <c r="B46" s="10">
        <f t="shared" ca="1" si="0"/>
        <v>1</v>
      </c>
      <c r="C46" s="5">
        <f t="shared" ca="1" si="1"/>
        <v>21</v>
      </c>
    </row>
    <row r="47" spans="1:3" ht="13.5" thickBot="1">
      <c r="A47" s="3">
        <f>A46+13</f>
        <v>1023652166</v>
      </c>
      <c r="B47" s="10">
        <f t="shared" ca="1" si="0"/>
        <v>5</v>
      </c>
      <c r="C47" s="5">
        <f t="shared" ca="1" si="1"/>
        <v>105</v>
      </c>
    </row>
    <row r="48" spans="1:3" ht="13.5" thickBot="1">
      <c r="A48" s="3">
        <v>1023652154</v>
      </c>
      <c r="B48" s="10">
        <f t="shared" ca="1" si="0"/>
        <v>5</v>
      </c>
      <c r="C48" s="5">
        <f t="shared" ca="1" si="1"/>
        <v>105</v>
      </c>
    </row>
    <row r="49" spans="1:3" ht="13.5" thickBot="1">
      <c r="A49" s="3">
        <f>A48+13</f>
        <v>1023652167</v>
      </c>
      <c r="B49" s="10">
        <f t="shared" ca="1" si="0"/>
        <v>3</v>
      </c>
      <c r="C49" s="5">
        <f t="shared" ca="1" si="1"/>
        <v>63</v>
      </c>
    </row>
    <row r="50" spans="1:3" ht="13.5" thickBot="1">
      <c r="A50" s="3">
        <v>1023652155</v>
      </c>
      <c r="B50" s="10">
        <f t="shared" ca="1" si="0"/>
        <v>2</v>
      </c>
      <c r="C50" s="5">
        <f t="shared" ca="1" si="1"/>
        <v>42</v>
      </c>
    </row>
    <row r="51" spans="1:3" ht="13.5" thickBot="1">
      <c r="A51" s="3">
        <f>A50+13</f>
        <v>1023652168</v>
      </c>
      <c r="B51" s="10">
        <f t="shared" ca="1" si="0"/>
        <v>4</v>
      </c>
      <c r="C51" s="5">
        <f t="shared" ca="1" si="1"/>
        <v>84</v>
      </c>
    </row>
    <row r="52" spans="1:3" ht="13.5" thickBot="1">
      <c r="A52" s="3">
        <v>1023652156</v>
      </c>
      <c r="B52" s="10">
        <f t="shared" ca="1" si="0"/>
        <v>4</v>
      </c>
      <c r="C52" s="5">
        <f t="shared" ca="1" si="1"/>
        <v>84</v>
      </c>
    </row>
    <row r="53" spans="1:3" ht="13.5" thickBot="1">
      <c r="A53" s="3">
        <f>A52+13</f>
        <v>1023652169</v>
      </c>
      <c r="B53" s="10">
        <f t="shared" ca="1" si="0"/>
        <v>1</v>
      </c>
      <c r="C53" s="5">
        <f t="shared" ca="1" si="1"/>
        <v>21</v>
      </c>
    </row>
    <row r="54" spans="1:3" ht="13.5" thickBot="1">
      <c r="A54" s="3">
        <v>1023652157</v>
      </c>
      <c r="B54" s="10">
        <f t="shared" ca="1" si="0"/>
        <v>4</v>
      </c>
      <c r="C54" s="5">
        <f t="shared" ca="1" si="1"/>
        <v>84</v>
      </c>
    </row>
    <row r="55" spans="1:3" ht="13.5" thickBot="1">
      <c r="A55" s="3">
        <f>A54+13</f>
        <v>1023652170</v>
      </c>
      <c r="B55" s="10">
        <f t="shared" ca="1" si="0"/>
        <v>3</v>
      </c>
      <c r="C55" s="5">
        <f t="shared" ca="1" si="1"/>
        <v>63</v>
      </c>
    </row>
    <row r="56" spans="1:3" ht="13.5" thickBot="1">
      <c r="A56" s="3">
        <v>1023652158</v>
      </c>
      <c r="B56" s="10">
        <f t="shared" ca="1" si="0"/>
        <v>1</v>
      </c>
      <c r="C56" s="5">
        <f t="shared" ca="1" si="1"/>
        <v>21</v>
      </c>
    </row>
    <row r="57" spans="1:3" ht="13.5" thickBot="1">
      <c r="A57" s="3">
        <f>A56+13</f>
        <v>1023652171</v>
      </c>
      <c r="B57" s="10">
        <f t="shared" ca="1" si="0"/>
        <v>3</v>
      </c>
      <c r="C57" s="5">
        <f t="shared" ca="1" si="1"/>
        <v>63</v>
      </c>
    </row>
    <row r="58" spans="1:3" ht="13.5" thickBot="1">
      <c r="A58" s="3">
        <v>1023652159</v>
      </c>
      <c r="B58" s="10">
        <f t="shared" ca="1" si="0"/>
        <v>6</v>
      </c>
      <c r="C58" s="5">
        <f t="shared" ca="1" si="1"/>
        <v>126</v>
      </c>
    </row>
    <row r="59" spans="1:3" ht="13.5" thickBot="1">
      <c r="A59" s="3">
        <f>A58+13</f>
        <v>1023652172</v>
      </c>
      <c r="B59" s="10">
        <f t="shared" ca="1" si="0"/>
        <v>1</v>
      </c>
      <c r="C59" s="5">
        <f t="shared" ca="1" si="1"/>
        <v>21</v>
      </c>
    </row>
    <row r="60" spans="1:3" ht="13.5" thickBot="1">
      <c r="A60" s="3">
        <v>1023652160</v>
      </c>
      <c r="B60" s="10">
        <f t="shared" ca="1" si="0"/>
        <v>4</v>
      </c>
      <c r="C60" s="5">
        <f t="shared" ca="1" si="1"/>
        <v>84</v>
      </c>
    </row>
    <row r="61" spans="1:3" ht="13.5" thickBot="1">
      <c r="A61" s="3">
        <f>A60+13</f>
        <v>1023652173</v>
      </c>
      <c r="B61" s="10">
        <f t="shared" ca="1" si="0"/>
        <v>0</v>
      </c>
      <c r="C61" s="5">
        <f t="shared" ca="1" si="1"/>
        <v>0</v>
      </c>
    </row>
    <row r="62" spans="1:3" ht="13.5" thickBot="1">
      <c r="A62" s="3">
        <v>1023652161</v>
      </c>
      <c r="B62" s="10">
        <f t="shared" ca="1" si="0"/>
        <v>3</v>
      </c>
      <c r="C62" s="5">
        <f t="shared" ca="1" si="1"/>
        <v>63</v>
      </c>
    </row>
    <row r="63" spans="1:3" ht="13.5" thickBot="1">
      <c r="A63" s="3">
        <f>A62+13</f>
        <v>1023652174</v>
      </c>
      <c r="B63" s="10">
        <f t="shared" ca="1" si="0"/>
        <v>3</v>
      </c>
      <c r="C63" s="5">
        <f t="shared" ca="1" si="1"/>
        <v>63</v>
      </c>
    </row>
    <row r="64" spans="1:3" ht="13.5" thickBot="1">
      <c r="A64" s="3">
        <v>1023652162</v>
      </c>
      <c r="B64" s="10">
        <f t="shared" ca="1" si="0"/>
        <v>5</v>
      </c>
      <c r="C64" s="5">
        <f t="shared" ca="1" si="1"/>
        <v>105</v>
      </c>
    </row>
    <row r="65" spans="1:3" ht="13.5" thickBot="1">
      <c r="A65" s="3">
        <f>A64+13</f>
        <v>1023652175</v>
      </c>
      <c r="B65" s="10">
        <f t="shared" ca="1" si="0"/>
        <v>5</v>
      </c>
      <c r="C65" s="5">
        <f t="shared" ca="1" si="1"/>
        <v>105</v>
      </c>
    </row>
    <row r="66" spans="1:3" ht="13.5" thickBot="1">
      <c r="A66" s="3">
        <v>1023652163</v>
      </c>
      <c r="B66" s="10">
        <f t="shared" ca="1" si="0"/>
        <v>3</v>
      </c>
      <c r="C66" s="5">
        <f t="shared" ca="1" si="1"/>
        <v>63</v>
      </c>
    </row>
    <row r="67" spans="1:3" ht="13.5" thickBot="1">
      <c r="A67" s="3">
        <f>A66+13</f>
        <v>1023652176</v>
      </c>
      <c r="B67" s="10">
        <f t="shared" ca="1" si="0"/>
        <v>6</v>
      </c>
      <c r="C67" s="5">
        <f t="shared" ca="1" si="1"/>
        <v>126</v>
      </c>
    </row>
    <row r="68" spans="1:3" ht="13.5" thickBot="1">
      <c r="A68" s="3">
        <v>1023652164</v>
      </c>
      <c r="B68" s="10">
        <f t="shared" ca="1" si="0"/>
        <v>4</v>
      </c>
      <c r="C68" s="5">
        <f t="shared" ca="1" si="1"/>
        <v>84</v>
      </c>
    </row>
    <row r="69" spans="1:3" ht="13.5" thickBot="1">
      <c r="A69" s="3">
        <f>A68+13</f>
        <v>1023652177</v>
      </c>
      <c r="B69" s="10">
        <f t="shared" ca="1" si="0"/>
        <v>2</v>
      </c>
      <c r="C69" s="5">
        <f t="shared" ca="1" si="1"/>
        <v>42</v>
      </c>
    </row>
    <row r="70" spans="1:3" ht="13.5" thickBot="1">
      <c r="A70" s="3">
        <v>1023652165</v>
      </c>
      <c r="B70" s="10">
        <f t="shared" ca="1" si="0"/>
        <v>4</v>
      </c>
      <c r="C70" s="5">
        <f t="shared" ca="1" si="1"/>
        <v>84</v>
      </c>
    </row>
    <row r="71" spans="1:3" ht="13.5" thickBot="1">
      <c r="A71" s="3">
        <f>A70+13</f>
        <v>1023652178</v>
      </c>
      <c r="B71" s="10">
        <f t="shared" ca="1" si="0"/>
        <v>1</v>
      </c>
      <c r="C71" s="5">
        <f t="shared" ca="1" si="1"/>
        <v>21</v>
      </c>
    </row>
    <row r="72" spans="1:3" ht="13.5" thickBot="1">
      <c r="A72" s="3">
        <v>1023652166</v>
      </c>
      <c r="B72" s="10">
        <f t="shared" ca="1" si="0"/>
        <v>2</v>
      </c>
      <c r="C72" s="5">
        <f t="shared" ca="1" si="1"/>
        <v>42</v>
      </c>
    </row>
    <row r="73" spans="1:3" ht="13.5" thickBot="1">
      <c r="A73" s="3">
        <f>A72+13</f>
        <v>1023652179</v>
      </c>
      <c r="B73" s="10">
        <f t="shared" ca="1" si="0"/>
        <v>1</v>
      </c>
      <c r="C73" s="5">
        <f t="shared" ca="1" si="1"/>
        <v>21</v>
      </c>
    </row>
    <row r="74" spans="1:3" ht="13.5" thickBot="1">
      <c r="A74" s="3">
        <v>1023652167</v>
      </c>
      <c r="B74" s="10">
        <f t="shared" ca="1" si="0"/>
        <v>5</v>
      </c>
      <c r="C74" s="5">
        <f t="shared" ca="1" si="1"/>
        <v>105</v>
      </c>
    </row>
    <row r="75" spans="1:3" ht="13.5" thickBot="1">
      <c r="A75" s="3">
        <f>A74+13</f>
        <v>1023652180</v>
      </c>
      <c r="B75" s="10">
        <f t="shared" ref="B75:B138" ca="1" si="2">ROUND(RAND()*6,0)</f>
        <v>0</v>
      </c>
      <c r="C75" s="5">
        <f t="shared" ref="C75:C138" ca="1" si="3">B75*21</f>
        <v>0</v>
      </c>
    </row>
    <row r="76" spans="1:3" ht="13.5" thickBot="1">
      <c r="A76" s="3">
        <v>1023652168</v>
      </c>
      <c r="B76" s="10">
        <f t="shared" ca="1" si="2"/>
        <v>2</v>
      </c>
      <c r="C76" s="5">
        <f t="shared" ca="1" si="3"/>
        <v>42</v>
      </c>
    </row>
    <row r="77" spans="1:3" ht="13.5" thickBot="1">
      <c r="A77" s="3">
        <f>A76+13</f>
        <v>1023652181</v>
      </c>
      <c r="B77" s="10">
        <f t="shared" ca="1" si="2"/>
        <v>1</v>
      </c>
      <c r="C77" s="5">
        <f t="shared" ca="1" si="3"/>
        <v>21</v>
      </c>
    </row>
    <row r="78" spans="1:3" ht="13.5" thickBot="1">
      <c r="A78" s="3">
        <v>1023652169</v>
      </c>
      <c r="B78" s="10">
        <f t="shared" ca="1" si="2"/>
        <v>2</v>
      </c>
      <c r="C78" s="5">
        <f t="shared" ca="1" si="3"/>
        <v>42</v>
      </c>
    </row>
    <row r="79" spans="1:3" ht="13.5" thickBot="1">
      <c r="A79" s="3">
        <f>A78+13</f>
        <v>1023652182</v>
      </c>
      <c r="B79" s="10">
        <f t="shared" ca="1" si="2"/>
        <v>4</v>
      </c>
      <c r="C79" s="5">
        <f t="shared" ca="1" si="3"/>
        <v>84</v>
      </c>
    </row>
    <row r="80" spans="1:3" ht="13.5" thickBot="1">
      <c r="A80" s="3">
        <v>1023652170</v>
      </c>
      <c r="B80" s="10">
        <f t="shared" ca="1" si="2"/>
        <v>0</v>
      </c>
      <c r="C80" s="5">
        <f t="shared" ca="1" si="3"/>
        <v>0</v>
      </c>
    </row>
    <row r="81" spans="1:3" ht="13.5" thickBot="1">
      <c r="A81" s="3">
        <f>A80+13</f>
        <v>1023652183</v>
      </c>
      <c r="B81" s="10">
        <f t="shared" ca="1" si="2"/>
        <v>0</v>
      </c>
      <c r="C81" s="5">
        <f t="shared" ca="1" si="3"/>
        <v>0</v>
      </c>
    </row>
    <row r="82" spans="1:3" ht="13.5" thickBot="1">
      <c r="A82" s="3">
        <v>1023652171</v>
      </c>
      <c r="B82" s="10">
        <f t="shared" ca="1" si="2"/>
        <v>4</v>
      </c>
      <c r="C82" s="5">
        <f t="shared" ca="1" si="3"/>
        <v>84</v>
      </c>
    </row>
    <row r="83" spans="1:3" ht="13.5" thickBot="1">
      <c r="A83" s="3">
        <f>A82+13</f>
        <v>1023652184</v>
      </c>
      <c r="B83" s="10">
        <f t="shared" ca="1" si="2"/>
        <v>4</v>
      </c>
      <c r="C83" s="5">
        <f t="shared" ca="1" si="3"/>
        <v>84</v>
      </c>
    </row>
    <row r="84" spans="1:3" ht="13.5" thickBot="1">
      <c r="A84" s="3">
        <v>1023652172</v>
      </c>
      <c r="B84" s="10">
        <f t="shared" ca="1" si="2"/>
        <v>5</v>
      </c>
      <c r="C84" s="5">
        <f t="shared" ca="1" si="3"/>
        <v>105</v>
      </c>
    </row>
    <row r="85" spans="1:3" ht="13.5" thickBot="1">
      <c r="A85" s="3">
        <f>A84+13</f>
        <v>1023652185</v>
      </c>
      <c r="B85" s="10">
        <f t="shared" ca="1" si="2"/>
        <v>1</v>
      </c>
      <c r="C85" s="5">
        <f t="shared" ca="1" si="3"/>
        <v>21</v>
      </c>
    </row>
    <row r="86" spans="1:3" ht="13.5" thickBot="1">
      <c r="A86" s="3">
        <v>1023652173</v>
      </c>
      <c r="B86" s="10">
        <f t="shared" ca="1" si="2"/>
        <v>2</v>
      </c>
      <c r="C86" s="5">
        <f t="shared" ca="1" si="3"/>
        <v>42</v>
      </c>
    </row>
    <row r="87" spans="1:3" ht="13.5" thickBot="1">
      <c r="A87" s="3">
        <f>A86+13</f>
        <v>1023652186</v>
      </c>
      <c r="B87" s="10">
        <f t="shared" ca="1" si="2"/>
        <v>3</v>
      </c>
      <c r="C87" s="5">
        <f t="shared" ca="1" si="3"/>
        <v>63</v>
      </c>
    </row>
    <row r="88" spans="1:3" ht="13.5" thickBot="1">
      <c r="A88" s="3">
        <v>1023652174</v>
      </c>
      <c r="B88" s="10">
        <f t="shared" ca="1" si="2"/>
        <v>6</v>
      </c>
      <c r="C88" s="5">
        <f t="shared" ca="1" si="3"/>
        <v>126</v>
      </c>
    </row>
    <row r="89" spans="1:3" ht="13.5" thickBot="1">
      <c r="A89" s="3">
        <f>A88+13</f>
        <v>1023652187</v>
      </c>
      <c r="B89" s="10">
        <f t="shared" ca="1" si="2"/>
        <v>5</v>
      </c>
      <c r="C89" s="5">
        <f t="shared" ca="1" si="3"/>
        <v>105</v>
      </c>
    </row>
    <row r="90" spans="1:3" ht="13.5" thickBot="1">
      <c r="A90" s="3">
        <v>1023652175</v>
      </c>
      <c r="B90" s="10">
        <f t="shared" ca="1" si="2"/>
        <v>6</v>
      </c>
      <c r="C90" s="5">
        <f t="shared" ca="1" si="3"/>
        <v>126</v>
      </c>
    </row>
    <row r="91" spans="1:3" ht="13.5" thickBot="1">
      <c r="A91" s="3">
        <f>A90+13</f>
        <v>1023652188</v>
      </c>
      <c r="B91" s="10">
        <f t="shared" ca="1" si="2"/>
        <v>1</v>
      </c>
      <c r="C91" s="5">
        <f t="shared" ca="1" si="3"/>
        <v>21</v>
      </c>
    </row>
    <row r="92" spans="1:3" ht="13.5" thickBot="1">
      <c r="A92" s="3">
        <v>1023652176</v>
      </c>
      <c r="B92" s="10">
        <f t="shared" ca="1" si="2"/>
        <v>1</v>
      </c>
      <c r="C92" s="5">
        <f t="shared" ca="1" si="3"/>
        <v>21</v>
      </c>
    </row>
    <row r="93" spans="1:3" ht="13.5" thickBot="1">
      <c r="A93" s="3">
        <f>A92+13</f>
        <v>1023652189</v>
      </c>
      <c r="B93" s="10">
        <f t="shared" ca="1" si="2"/>
        <v>4</v>
      </c>
      <c r="C93" s="5">
        <f t="shared" ca="1" si="3"/>
        <v>84</v>
      </c>
    </row>
    <row r="94" spans="1:3" ht="13.5" thickBot="1">
      <c r="A94" s="3">
        <v>1023652177</v>
      </c>
      <c r="B94" s="10">
        <f t="shared" ca="1" si="2"/>
        <v>6</v>
      </c>
      <c r="C94" s="5">
        <f t="shared" ca="1" si="3"/>
        <v>126</v>
      </c>
    </row>
    <row r="95" spans="1:3" ht="13.5" thickBot="1">
      <c r="A95" s="3">
        <f>A94+13</f>
        <v>1023652190</v>
      </c>
      <c r="B95" s="10">
        <f t="shared" ca="1" si="2"/>
        <v>0</v>
      </c>
      <c r="C95" s="5">
        <f t="shared" ca="1" si="3"/>
        <v>0</v>
      </c>
    </row>
    <row r="96" spans="1:3" ht="13.5" thickBot="1">
      <c r="A96" s="3">
        <v>1023652178</v>
      </c>
      <c r="B96" s="10">
        <f t="shared" ca="1" si="2"/>
        <v>5</v>
      </c>
      <c r="C96" s="5">
        <f t="shared" ca="1" si="3"/>
        <v>105</v>
      </c>
    </row>
    <row r="97" spans="1:3" ht="13.5" thickBot="1">
      <c r="A97" s="3">
        <f>A96+13</f>
        <v>1023652191</v>
      </c>
      <c r="B97" s="10">
        <f t="shared" ca="1" si="2"/>
        <v>4</v>
      </c>
      <c r="C97" s="5">
        <f t="shared" ca="1" si="3"/>
        <v>84</v>
      </c>
    </row>
    <row r="98" spans="1:3" ht="13.5" thickBot="1">
      <c r="A98" s="3">
        <v>1023652179</v>
      </c>
      <c r="B98" s="10">
        <f t="shared" ca="1" si="2"/>
        <v>3</v>
      </c>
      <c r="C98" s="5">
        <f t="shared" ca="1" si="3"/>
        <v>63</v>
      </c>
    </row>
    <row r="99" spans="1:3" ht="13.5" thickBot="1">
      <c r="A99" s="3">
        <f>A98+13</f>
        <v>1023652192</v>
      </c>
      <c r="B99" s="10">
        <f t="shared" ca="1" si="2"/>
        <v>5</v>
      </c>
      <c r="C99" s="5">
        <f t="shared" ca="1" si="3"/>
        <v>105</v>
      </c>
    </row>
    <row r="100" spans="1:3" ht="13.5" thickBot="1">
      <c r="A100" s="3">
        <v>1023652180</v>
      </c>
      <c r="B100" s="10">
        <f t="shared" ca="1" si="2"/>
        <v>5</v>
      </c>
      <c r="C100" s="5">
        <f t="shared" ca="1" si="3"/>
        <v>105</v>
      </c>
    </row>
    <row r="101" spans="1:3" ht="13.5" thickBot="1">
      <c r="A101" s="3">
        <f>A100+13</f>
        <v>1023652193</v>
      </c>
      <c r="B101" s="10">
        <f t="shared" ca="1" si="2"/>
        <v>1</v>
      </c>
      <c r="C101" s="5">
        <f t="shared" ca="1" si="3"/>
        <v>21</v>
      </c>
    </row>
    <row r="102" spans="1:3" ht="13.5" thickBot="1">
      <c r="A102" s="3">
        <v>1023652181</v>
      </c>
      <c r="B102" s="10">
        <f t="shared" ca="1" si="2"/>
        <v>2</v>
      </c>
      <c r="C102" s="5">
        <f t="shared" ca="1" si="3"/>
        <v>42</v>
      </c>
    </row>
    <row r="103" spans="1:3" ht="13.5" thickBot="1">
      <c r="A103" s="3">
        <f>A102+13</f>
        <v>1023652194</v>
      </c>
      <c r="B103" s="10">
        <f t="shared" ca="1" si="2"/>
        <v>2</v>
      </c>
      <c r="C103" s="5">
        <f t="shared" ca="1" si="3"/>
        <v>42</v>
      </c>
    </row>
    <row r="104" spans="1:3" ht="13.5" thickBot="1">
      <c r="A104" s="3">
        <v>1023652182</v>
      </c>
      <c r="B104" s="10">
        <f t="shared" ca="1" si="2"/>
        <v>2</v>
      </c>
      <c r="C104" s="5">
        <f t="shared" ca="1" si="3"/>
        <v>42</v>
      </c>
    </row>
    <row r="105" spans="1:3" ht="13.5" thickBot="1">
      <c r="A105" s="3">
        <f>A104+13</f>
        <v>1023652195</v>
      </c>
      <c r="B105" s="10">
        <f t="shared" ca="1" si="2"/>
        <v>3</v>
      </c>
      <c r="C105" s="5">
        <f t="shared" ca="1" si="3"/>
        <v>63</v>
      </c>
    </row>
    <row r="106" spans="1:3" ht="13.5" thickBot="1">
      <c r="A106" s="3">
        <v>1023652183</v>
      </c>
      <c r="B106" s="10">
        <f t="shared" ca="1" si="2"/>
        <v>1</v>
      </c>
      <c r="C106" s="5">
        <f t="shared" ca="1" si="3"/>
        <v>21</v>
      </c>
    </row>
    <row r="107" spans="1:3" ht="13.5" thickBot="1">
      <c r="A107" s="3">
        <f>A106+13</f>
        <v>1023652196</v>
      </c>
      <c r="B107" s="10">
        <f t="shared" ca="1" si="2"/>
        <v>3</v>
      </c>
      <c r="C107" s="5">
        <f t="shared" ca="1" si="3"/>
        <v>63</v>
      </c>
    </row>
    <row r="108" spans="1:3" ht="13.5" thickBot="1">
      <c r="A108" s="3">
        <v>1023652184</v>
      </c>
      <c r="B108" s="10">
        <f t="shared" ca="1" si="2"/>
        <v>5</v>
      </c>
      <c r="C108" s="5">
        <f t="shared" ca="1" si="3"/>
        <v>105</v>
      </c>
    </row>
    <row r="109" spans="1:3" ht="13.5" thickBot="1">
      <c r="A109" s="3">
        <f>A108+13</f>
        <v>1023652197</v>
      </c>
      <c r="B109" s="10">
        <f t="shared" ca="1" si="2"/>
        <v>3</v>
      </c>
      <c r="C109" s="5">
        <f t="shared" ca="1" si="3"/>
        <v>63</v>
      </c>
    </row>
    <row r="110" spans="1:3" ht="13.5" thickBot="1">
      <c r="A110" s="3">
        <v>1023652185</v>
      </c>
      <c r="B110" s="10">
        <f t="shared" ca="1" si="2"/>
        <v>5</v>
      </c>
      <c r="C110" s="5">
        <f t="shared" ca="1" si="3"/>
        <v>105</v>
      </c>
    </row>
    <row r="111" spans="1:3" ht="13.5" thickBot="1">
      <c r="A111" s="3">
        <f>A110+13</f>
        <v>1023652198</v>
      </c>
      <c r="B111" s="10">
        <f t="shared" ca="1" si="2"/>
        <v>2</v>
      </c>
      <c r="C111" s="5">
        <f t="shared" ca="1" si="3"/>
        <v>42</v>
      </c>
    </row>
    <row r="112" spans="1:3" ht="13.5" thickBot="1">
      <c r="A112" s="3">
        <v>1023652186</v>
      </c>
      <c r="B112" s="10">
        <f t="shared" ca="1" si="2"/>
        <v>4</v>
      </c>
      <c r="C112" s="5">
        <f t="shared" ca="1" si="3"/>
        <v>84</v>
      </c>
    </row>
    <row r="113" spans="1:3" ht="13.5" thickBot="1">
      <c r="A113" s="3">
        <f>A112+13</f>
        <v>1023652199</v>
      </c>
      <c r="B113" s="10">
        <f t="shared" ca="1" si="2"/>
        <v>1</v>
      </c>
      <c r="C113" s="5">
        <f t="shared" ca="1" si="3"/>
        <v>21</v>
      </c>
    </row>
    <row r="114" spans="1:3" ht="13.5" thickBot="1">
      <c r="A114" s="3">
        <v>1023652187</v>
      </c>
      <c r="B114" s="10">
        <f t="shared" ca="1" si="2"/>
        <v>0</v>
      </c>
      <c r="C114" s="5">
        <f t="shared" ca="1" si="3"/>
        <v>0</v>
      </c>
    </row>
    <row r="115" spans="1:3" ht="13.5" thickBot="1">
      <c r="A115" s="3">
        <f>A114+13</f>
        <v>1023652200</v>
      </c>
      <c r="B115" s="10">
        <f t="shared" ca="1" si="2"/>
        <v>3</v>
      </c>
      <c r="C115" s="5">
        <f t="shared" ca="1" si="3"/>
        <v>63</v>
      </c>
    </row>
    <row r="116" spans="1:3" ht="13.5" thickBot="1">
      <c r="A116" s="3">
        <v>1023652188</v>
      </c>
      <c r="B116" s="10">
        <f t="shared" ca="1" si="2"/>
        <v>1</v>
      </c>
      <c r="C116" s="5">
        <f t="shared" ca="1" si="3"/>
        <v>21</v>
      </c>
    </row>
    <row r="117" spans="1:3" ht="13.5" thickBot="1">
      <c r="A117" s="3">
        <f>A116+13</f>
        <v>1023652201</v>
      </c>
      <c r="B117" s="10">
        <f t="shared" ca="1" si="2"/>
        <v>4</v>
      </c>
      <c r="C117" s="5">
        <f t="shared" ca="1" si="3"/>
        <v>84</v>
      </c>
    </row>
    <row r="118" spans="1:3" ht="13.5" thickBot="1">
      <c r="A118" s="3">
        <v>1023652189</v>
      </c>
      <c r="B118" s="10">
        <f t="shared" ca="1" si="2"/>
        <v>2</v>
      </c>
      <c r="C118" s="5">
        <f t="shared" ca="1" si="3"/>
        <v>42</v>
      </c>
    </row>
    <row r="119" spans="1:3" ht="13.5" thickBot="1">
      <c r="A119" s="3">
        <f>A118+13</f>
        <v>1023652202</v>
      </c>
      <c r="B119" s="10">
        <f t="shared" ca="1" si="2"/>
        <v>1</v>
      </c>
      <c r="C119" s="5">
        <f t="shared" ca="1" si="3"/>
        <v>21</v>
      </c>
    </row>
    <row r="120" spans="1:3" ht="13.5" thickBot="1">
      <c r="A120" s="3">
        <v>1023652190</v>
      </c>
      <c r="B120" s="10">
        <f t="shared" ca="1" si="2"/>
        <v>2</v>
      </c>
      <c r="C120" s="5">
        <f t="shared" ca="1" si="3"/>
        <v>42</v>
      </c>
    </row>
    <row r="121" spans="1:3" ht="13.5" thickBot="1">
      <c r="A121" s="3">
        <f>A120+13</f>
        <v>1023652203</v>
      </c>
      <c r="B121" s="10">
        <f t="shared" ca="1" si="2"/>
        <v>4</v>
      </c>
      <c r="C121" s="5">
        <f t="shared" ca="1" si="3"/>
        <v>84</v>
      </c>
    </row>
    <row r="122" spans="1:3" ht="13.5" thickBot="1">
      <c r="A122" s="3">
        <v>1023652191</v>
      </c>
      <c r="B122" s="10">
        <f t="shared" ca="1" si="2"/>
        <v>2</v>
      </c>
      <c r="C122" s="5">
        <f t="shared" ca="1" si="3"/>
        <v>42</v>
      </c>
    </row>
    <row r="123" spans="1:3" ht="13.5" thickBot="1">
      <c r="A123" s="3">
        <f>A122+13</f>
        <v>1023652204</v>
      </c>
      <c r="B123" s="10">
        <f t="shared" ca="1" si="2"/>
        <v>3</v>
      </c>
      <c r="C123" s="5">
        <f t="shared" ca="1" si="3"/>
        <v>63</v>
      </c>
    </row>
    <row r="124" spans="1:3" ht="13.5" thickBot="1">
      <c r="A124" s="3">
        <v>1023652192</v>
      </c>
      <c r="B124" s="10">
        <f t="shared" ca="1" si="2"/>
        <v>4</v>
      </c>
      <c r="C124" s="5">
        <f t="shared" ca="1" si="3"/>
        <v>84</v>
      </c>
    </row>
    <row r="125" spans="1:3" ht="13.5" thickBot="1">
      <c r="A125" s="3">
        <f>A124+13</f>
        <v>1023652205</v>
      </c>
      <c r="B125" s="10">
        <f t="shared" ca="1" si="2"/>
        <v>2</v>
      </c>
      <c r="C125" s="5">
        <f t="shared" ca="1" si="3"/>
        <v>42</v>
      </c>
    </row>
    <row r="126" spans="1:3" ht="13.5" thickBot="1">
      <c r="A126" s="3">
        <v>1023652193</v>
      </c>
      <c r="B126" s="10">
        <f t="shared" ca="1" si="2"/>
        <v>2</v>
      </c>
      <c r="C126" s="5">
        <f t="shared" ca="1" si="3"/>
        <v>42</v>
      </c>
    </row>
    <row r="127" spans="1:3" ht="13.5" thickBot="1">
      <c r="A127" s="3">
        <f>A126+13</f>
        <v>1023652206</v>
      </c>
      <c r="B127" s="10">
        <f t="shared" ca="1" si="2"/>
        <v>1</v>
      </c>
      <c r="C127" s="5">
        <f t="shared" ca="1" si="3"/>
        <v>21</v>
      </c>
    </row>
    <row r="128" spans="1:3" ht="13.5" thickBot="1">
      <c r="A128" s="3">
        <v>1023652194</v>
      </c>
      <c r="B128" s="10">
        <f t="shared" ca="1" si="2"/>
        <v>4</v>
      </c>
      <c r="C128" s="5">
        <f t="shared" ca="1" si="3"/>
        <v>84</v>
      </c>
    </row>
    <row r="129" spans="1:3" ht="13.5" thickBot="1">
      <c r="A129" s="3">
        <f>A128+13</f>
        <v>1023652207</v>
      </c>
      <c r="B129" s="10">
        <f t="shared" ca="1" si="2"/>
        <v>2</v>
      </c>
      <c r="C129" s="5">
        <f t="shared" ca="1" si="3"/>
        <v>42</v>
      </c>
    </row>
    <row r="130" spans="1:3" ht="13.5" thickBot="1">
      <c r="A130" s="3">
        <v>1023652195</v>
      </c>
      <c r="B130" s="10">
        <f t="shared" ca="1" si="2"/>
        <v>2</v>
      </c>
      <c r="C130" s="5">
        <f t="shared" ca="1" si="3"/>
        <v>42</v>
      </c>
    </row>
    <row r="131" spans="1:3" ht="13.5" thickBot="1">
      <c r="A131" s="3">
        <f>A130+13</f>
        <v>1023652208</v>
      </c>
      <c r="B131" s="10">
        <f t="shared" ca="1" si="2"/>
        <v>2</v>
      </c>
      <c r="C131" s="5">
        <f t="shared" ca="1" si="3"/>
        <v>42</v>
      </c>
    </row>
    <row r="132" spans="1:3" ht="13.5" thickBot="1">
      <c r="A132" s="3">
        <v>1023652196</v>
      </c>
      <c r="B132" s="10">
        <f t="shared" ca="1" si="2"/>
        <v>4</v>
      </c>
      <c r="C132" s="5">
        <f t="shared" ca="1" si="3"/>
        <v>84</v>
      </c>
    </row>
    <row r="133" spans="1:3" ht="13.5" thickBot="1">
      <c r="A133" s="3">
        <f>A132+13</f>
        <v>1023652209</v>
      </c>
      <c r="B133" s="10">
        <f t="shared" ca="1" si="2"/>
        <v>3</v>
      </c>
      <c r="C133" s="5">
        <f t="shared" ca="1" si="3"/>
        <v>63</v>
      </c>
    </row>
    <row r="134" spans="1:3" ht="13.5" thickBot="1">
      <c r="A134" s="3">
        <v>1023652197</v>
      </c>
      <c r="B134" s="10">
        <f t="shared" ca="1" si="2"/>
        <v>5</v>
      </c>
      <c r="C134" s="5">
        <f t="shared" ca="1" si="3"/>
        <v>105</v>
      </c>
    </row>
    <row r="135" spans="1:3" ht="13.5" thickBot="1">
      <c r="A135" s="3">
        <f>A134+13</f>
        <v>1023652210</v>
      </c>
      <c r="B135" s="10">
        <f t="shared" ca="1" si="2"/>
        <v>1</v>
      </c>
      <c r="C135" s="5">
        <f t="shared" ca="1" si="3"/>
        <v>21</v>
      </c>
    </row>
    <row r="136" spans="1:3" ht="13.5" thickBot="1">
      <c r="A136" s="3">
        <v>1023652198</v>
      </c>
      <c r="B136" s="10">
        <f t="shared" ca="1" si="2"/>
        <v>2</v>
      </c>
      <c r="C136" s="5">
        <f t="shared" ca="1" si="3"/>
        <v>42</v>
      </c>
    </row>
    <row r="137" spans="1:3" ht="13.5" thickBot="1">
      <c r="A137" s="3">
        <f>A136+13</f>
        <v>1023652211</v>
      </c>
      <c r="B137" s="10">
        <f t="shared" ca="1" si="2"/>
        <v>6</v>
      </c>
      <c r="C137" s="5">
        <f t="shared" ca="1" si="3"/>
        <v>126</v>
      </c>
    </row>
    <row r="138" spans="1:3" ht="13.5" thickBot="1">
      <c r="A138" s="3">
        <v>1023652199</v>
      </c>
      <c r="B138" s="10">
        <f t="shared" ca="1" si="2"/>
        <v>4</v>
      </c>
      <c r="C138" s="5">
        <f t="shared" ca="1" si="3"/>
        <v>84</v>
      </c>
    </row>
    <row r="139" spans="1:3" ht="13.5" thickBot="1">
      <c r="A139" s="3">
        <f>A138+13</f>
        <v>1023652212</v>
      </c>
      <c r="B139" s="10">
        <f t="shared" ref="B139:B200" ca="1" si="4">ROUND(RAND()*6,0)</f>
        <v>2</v>
      </c>
      <c r="C139" s="5">
        <f t="shared" ref="C139:C200" ca="1" si="5">B139*21</f>
        <v>42</v>
      </c>
    </row>
    <row r="140" spans="1:3" ht="13.5" thickBot="1">
      <c r="A140" s="3">
        <v>1023652200</v>
      </c>
      <c r="B140" s="10">
        <f t="shared" ca="1" si="4"/>
        <v>1</v>
      </c>
      <c r="C140" s="5">
        <f t="shared" ca="1" si="5"/>
        <v>21</v>
      </c>
    </row>
    <row r="141" spans="1:3" ht="13.5" thickBot="1">
      <c r="A141" s="3">
        <f>A140+13</f>
        <v>1023652213</v>
      </c>
      <c r="B141" s="10">
        <f t="shared" ca="1" si="4"/>
        <v>2</v>
      </c>
      <c r="C141" s="5">
        <f t="shared" ca="1" si="5"/>
        <v>42</v>
      </c>
    </row>
    <row r="142" spans="1:3" ht="13.5" thickBot="1">
      <c r="A142" s="3">
        <v>1023652201</v>
      </c>
      <c r="B142" s="10">
        <f t="shared" ca="1" si="4"/>
        <v>4</v>
      </c>
      <c r="C142" s="5">
        <f t="shared" ca="1" si="5"/>
        <v>84</v>
      </c>
    </row>
    <row r="143" spans="1:3" ht="13.5" thickBot="1">
      <c r="A143" s="3">
        <f>A142+13</f>
        <v>1023652214</v>
      </c>
      <c r="B143" s="10">
        <f t="shared" ca="1" si="4"/>
        <v>2</v>
      </c>
      <c r="C143" s="5">
        <f t="shared" ca="1" si="5"/>
        <v>42</v>
      </c>
    </row>
    <row r="144" spans="1:3" ht="13.5" thickBot="1">
      <c r="A144" s="3">
        <v>1023652202</v>
      </c>
      <c r="B144" s="10">
        <f t="shared" ca="1" si="4"/>
        <v>1</v>
      </c>
      <c r="C144" s="5">
        <f t="shared" ca="1" si="5"/>
        <v>21</v>
      </c>
    </row>
    <row r="145" spans="1:3" ht="13.5" thickBot="1">
      <c r="A145" s="3">
        <f>A144+13</f>
        <v>1023652215</v>
      </c>
      <c r="B145" s="10">
        <f t="shared" ca="1" si="4"/>
        <v>1</v>
      </c>
      <c r="C145" s="5">
        <f t="shared" ca="1" si="5"/>
        <v>21</v>
      </c>
    </row>
    <row r="146" spans="1:3" ht="13.5" thickBot="1">
      <c r="A146" s="3">
        <v>1023652203</v>
      </c>
      <c r="B146" s="10">
        <f t="shared" ca="1" si="4"/>
        <v>2</v>
      </c>
      <c r="C146" s="5">
        <f t="shared" ca="1" si="5"/>
        <v>42</v>
      </c>
    </row>
    <row r="147" spans="1:3" ht="13.5" thickBot="1">
      <c r="A147" s="3">
        <f>A146+13</f>
        <v>1023652216</v>
      </c>
      <c r="B147" s="10">
        <f t="shared" ca="1" si="4"/>
        <v>4</v>
      </c>
      <c r="C147" s="5">
        <f t="shared" ca="1" si="5"/>
        <v>84</v>
      </c>
    </row>
    <row r="148" spans="1:3" ht="13.5" thickBot="1">
      <c r="A148" s="3">
        <v>1023652204</v>
      </c>
      <c r="B148" s="10">
        <f t="shared" ca="1" si="4"/>
        <v>6</v>
      </c>
      <c r="C148" s="5">
        <f t="shared" ca="1" si="5"/>
        <v>126</v>
      </c>
    </row>
    <row r="149" spans="1:3" ht="13.5" thickBot="1">
      <c r="A149" s="3">
        <f>A148+13</f>
        <v>1023652217</v>
      </c>
      <c r="B149" s="10">
        <f t="shared" ca="1" si="4"/>
        <v>0</v>
      </c>
      <c r="C149" s="5">
        <f t="shared" ca="1" si="5"/>
        <v>0</v>
      </c>
    </row>
    <row r="150" spans="1:3" ht="13.5" thickBot="1">
      <c r="A150" s="3">
        <v>1023652205</v>
      </c>
      <c r="B150" s="10">
        <f t="shared" ca="1" si="4"/>
        <v>4</v>
      </c>
      <c r="C150" s="5">
        <f t="shared" ca="1" si="5"/>
        <v>84</v>
      </c>
    </row>
    <row r="151" spans="1:3" ht="13.5" thickBot="1">
      <c r="A151" s="3">
        <f>A150+13</f>
        <v>1023652218</v>
      </c>
      <c r="B151" s="10">
        <f t="shared" ca="1" si="4"/>
        <v>2</v>
      </c>
      <c r="C151" s="5">
        <f t="shared" ca="1" si="5"/>
        <v>42</v>
      </c>
    </row>
    <row r="152" spans="1:3" ht="13.5" thickBot="1">
      <c r="A152" s="3">
        <v>1023652206</v>
      </c>
      <c r="B152" s="10">
        <f t="shared" ca="1" si="4"/>
        <v>2</v>
      </c>
      <c r="C152" s="5">
        <f t="shared" ca="1" si="5"/>
        <v>42</v>
      </c>
    </row>
    <row r="153" spans="1:3" ht="13.5" thickBot="1">
      <c r="A153" s="3">
        <f>A152+13</f>
        <v>1023652219</v>
      </c>
      <c r="B153" s="10">
        <f t="shared" ca="1" si="4"/>
        <v>3</v>
      </c>
      <c r="C153" s="5">
        <f t="shared" ca="1" si="5"/>
        <v>63</v>
      </c>
    </row>
    <row r="154" spans="1:3" ht="13.5" thickBot="1">
      <c r="A154" s="3">
        <v>1023652207</v>
      </c>
      <c r="B154" s="10">
        <f t="shared" ca="1" si="4"/>
        <v>4</v>
      </c>
      <c r="C154" s="5">
        <f t="shared" ca="1" si="5"/>
        <v>84</v>
      </c>
    </row>
    <row r="155" spans="1:3" ht="13.5" thickBot="1">
      <c r="A155" s="3">
        <f>A154+13</f>
        <v>1023652220</v>
      </c>
      <c r="B155" s="10">
        <f t="shared" ca="1" si="4"/>
        <v>1</v>
      </c>
      <c r="C155" s="5">
        <f t="shared" ca="1" si="5"/>
        <v>21</v>
      </c>
    </row>
    <row r="156" spans="1:3" ht="13.5" thickBot="1">
      <c r="A156" s="3">
        <v>1023652208</v>
      </c>
      <c r="B156" s="10">
        <f t="shared" ca="1" si="4"/>
        <v>0</v>
      </c>
      <c r="C156" s="5">
        <f t="shared" ca="1" si="5"/>
        <v>0</v>
      </c>
    </row>
    <row r="157" spans="1:3" ht="13.5" thickBot="1">
      <c r="A157" s="3">
        <f>A156+13</f>
        <v>1023652221</v>
      </c>
      <c r="B157" s="10">
        <f t="shared" ca="1" si="4"/>
        <v>4</v>
      </c>
      <c r="C157" s="5">
        <f t="shared" ca="1" si="5"/>
        <v>84</v>
      </c>
    </row>
    <row r="158" spans="1:3" ht="13.5" thickBot="1">
      <c r="A158" s="3">
        <v>1023652209</v>
      </c>
      <c r="B158" s="10">
        <f t="shared" ca="1" si="4"/>
        <v>1</v>
      </c>
      <c r="C158" s="5">
        <f t="shared" ca="1" si="5"/>
        <v>21</v>
      </c>
    </row>
    <row r="159" spans="1:3" ht="13.5" thickBot="1">
      <c r="A159" s="3">
        <f>A158+13</f>
        <v>1023652222</v>
      </c>
      <c r="B159" s="10">
        <f t="shared" ca="1" si="4"/>
        <v>1</v>
      </c>
      <c r="C159" s="5">
        <f t="shared" ca="1" si="5"/>
        <v>21</v>
      </c>
    </row>
    <row r="160" spans="1:3" ht="13.5" thickBot="1">
      <c r="A160" s="3">
        <v>1023652210</v>
      </c>
      <c r="B160" s="10">
        <f t="shared" ca="1" si="4"/>
        <v>0</v>
      </c>
      <c r="C160" s="5">
        <f t="shared" ca="1" si="5"/>
        <v>0</v>
      </c>
    </row>
    <row r="161" spans="1:3" ht="13.5" thickBot="1">
      <c r="A161" s="3">
        <f>A160+13</f>
        <v>1023652223</v>
      </c>
      <c r="B161" s="10">
        <f t="shared" ca="1" si="4"/>
        <v>2</v>
      </c>
      <c r="C161" s="5">
        <f t="shared" ca="1" si="5"/>
        <v>42</v>
      </c>
    </row>
    <row r="162" spans="1:3" ht="13.5" thickBot="1">
      <c r="A162" s="3">
        <v>1023652211</v>
      </c>
      <c r="B162" s="10">
        <f t="shared" ca="1" si="4"/>
        <v>1</v>
      </c>
      <c r="C162" s="5">
        <f t="shared" ca="1" si="5"/>
        <v>21</v>
      </c>
    </row>
    <row r="163" spans="1:3" ht="13.5" thickBot="1">
      <c r="A163" s="3">
        <f>A162+13</f>
        <v>1023652224</v>
      </c>
      <c r="B163" s="10">
        <f t="shared" ca="1" si="4"/>
        <v>3</v>
      </c>
      <c r="C163" s="5">
        <f t="shared" ca="1" si="5"/>
        <v>63</v>
      </c>
    </row>
    <row r="164" spans="1:3" ht="13.5" thickBot="1">
      <c r="A164" s="3">
        <v>1023652212</v>
      </c>
      <c r="B164" s="10">
        <f t="shared" ca="1" si="4"/>
        <v>4</v>
      </c>
      <c r="C164" s="5">
        <f t="shared" ca="1" si="5"/>
        <v>84</v>
      </c>
    </row>
    <row r="165" spans="1:3" ht="13.5" thickBot="1">
      <c r="A165" s="3">
        <f>A164+13</f>
        <v>1023652225</v>
      </c>
      <c r="B165" s="10">
        <f t="shared" ca="1" si="4"/>
        <v>3</v>
      </c>
      <c r="C165" s="5">
        <f t="shared" ca="1" si="5"/>
        <v>63</v>
      </c>
    </row>
    <row r="166" spans="1:3" ht="13.5" thickBot="1">
      <c r="A166" s="3">
        <v>1023652213</v>
      </c>
      <c r="B166" s="10">
        <f t="shared" ca="1" si="4"/>
        <v>2</v>
      </c>
      <c r="C166" s="5">
        <f t="shared" ca="1" si="5"/>
        <v>42</v>
      </c>
    </row>
    <row r="167" spans="1:3" ht="13.5" thickBot="1">
      <c r="A167" s="3">
        <f>A166+13</f>
        <v>1023652226</v>
      </c>
      <c r="B167" s="10">
        <f t="shared" ca="1" si="4"/>
        <v>3</v>
      </c>
      <c r="C167" s="5">
        <f t="shared" ca="1" si="5"/>
        <v>63</v>
      </c>
    </row>
    <row r="168" spans="1:3" ht="13.5" thickBot="1">
      <c r="A168" s="3">
        <v>1023652214</v>
      </c>
      <c r="B168" s="10">
        <f t="shared" ca="1" si="4"/>
        <v>0</v>
      </c>
      <c r="C168" s="5">
        <f t="shared" ca="1" si="5"/>
        <v>0</v>
      </c>
    </row>
    <row r="169" spans="1:3" ht="13.5" thickBot="1">
      <c r="A169" s="3">
        <f>A168+13</f>
        <v>1023652227</v>
      </c>
      <c r="B169" s="10">
        <f t="shared" ca="1" si="4"/>
        <v>4</v>
      </c>
      <c r="C169" s="5">
        <f t="shared" ca="1" si="5"/>
        <v>84</v>
      </c>
    </row>
    <row r="170" spans="1:3" ht="13.5" thickBot="1">
      <c r="A170" s="3">
        <v>1023652215</v>
      </c>
      <c r="B170" s="10">
        <f t="shared" ca="1" si="4"/>
        <v>4</v>
      </c>
      <c r="C170" s="5">
        <f t="shared" ca="1" si="5"/>
        <v>84</v>
      </c>
    </row>
    <row r="171" spans="1:3" ht="13.5" thickBot="1">
      <c r="A171" s="3">
        <f>A170+13</f>
        <v>1023652228</v>
      </c>
      <c r="B171" s="10">
        <f t="shared" ca="1" si="4"/>
        <v>2</v>
      </c>
      <c r="C171" s="5">
        <f t="shared" ca="1" si="5"/>
        <v>42</v>
      </c>
    </row>
    <row r="172" spans="1:3" ht="13.5" thickBot="1">
      <c r="A172" s="3">
        <v>1023652216</v>
      </c>
      <c r="B172" s="10">
        <f t="shared" ca="1" si="4"/>
        <v>0</v>
      </c>
      <c r="C172" s="5">
        <f t="shared" ca="1" si="5"/>
        <v>0</v>
      </c>
    </row>
    <row r="173" spans="1:3" ht="13.5" thickBot="1">
      <c r="A173" s="3">
        <f>A172+13</f>
        <v>1023652229</v>
      </c>
      <c r="B173" s="10">
        <f t="shared" ca="1" si="4"/>
        <v>3</v>
      </c>
      <c r="C173" s="5">
        <f t="shared" ca="1" si="5"/>
        <v>63</v>
      </c>
    </row>
    <row r="174" spans="1:3" ht="13.5" thickBot="1">
      <c r="A174" s="3">
        <v>1023652217</v>
      </c>
      <c r="B174" s="10">
        <f t="shared" ca="1" si="4"/>
        <v>4</v>
      </c>
      <c r="C174" s="5">
        <f t="shared" ca="1" si="5"/>
        <v>84</v>
      </c>
    </row>
    <row r="175" spans="1:3" ht="13.5" thickBot="1">
      <c r="A175" s="3">
        <f>A174+13</f>
        <v>1023652230</v>
      </c>
      <c r="B175" s="10">
        <f t="shared" ca="1" si="4"/>
        <v>4</v>
      </c>
      <c r="C175" s="5">
        <f t="shared" ca="1" si="5"/>
        <v>84</v>
      </c>
    </row>
    <row r="176" spans="1:3" ht="13.5" thickBot="1">
      <c r="A176" s="3">
        <v>1023652218</v>
      </c>
      <c r="B176" s="10">
        <f t="shared" ca="1" si="4"/>
        <v>5</v>
      </c>
      <c r="C176" s="5">
        <f t="shared" ca="1" si="5"/>
        <v>105</v>
      </c>
    </row>
    <row r="177" spans="1:3" ht="13.5" thickBot="1">
      <c r="A177" s="3">
        <f>A176+13</f>
        <v>1023652231</v>
      </c>
      <c r="B177" s="10">
        <f t="shared" ca="1" si="4"/>
        <v>4</v>
      </c>
      <c r="C177" s="5">
        <f t="shared" ca="1" si="5"/>
        <v>84</v>
      </c>
    </row>
    <row r="178" spans="1:3" ht="13.5" thickBot="1">
      <c r="A178" s="3">
        <v>1023652219</v>
      </c>
      <c r="B178" s="10">
        <f t="shared" ca="1" si="4"/>
        <v>2</v>
      </c>
      <c r="C178" s="5">
        <f t="shared" ca="1" si="5"/>
        <v>42</v>
      </c>
    </row>
    <row r="179" spans="1:3" ht="13.5" thickBot="1">
      <c r="A179" s="3">
        <f>A178+13</f>
        <v>1023652232</v>
      </c>
      <c r="B179" s="10">
        <f t="shared" ca="1" si="4"/>
        <v>1</v>
      </c>
      <c r="C179" s="5">
        <f t="shared" ca="1" si="5"/>
        <v>21</v>
      </c>
    </row>
    <row r="180" spans="1:3" ht="13.5" thickBot="1">
      <c r="A180" s="3">
        <v>1023652220</v>
      </c>
      <c r="B180" s="10">
        <f t="shared" ca="1" si="4"/>
        <v>1</v>
      </c>
      <c r="C180" s="5">
        <f t="shared" ca="1" si="5"/>
        <v>21</v>
      </c>
    </row>
    <row r="181" spans="1:3" ht="13.5" thickBot="1">
      <c r="A181" s="3">
        <f>A180+13</f>
        <v>1023652233</v>
      </c>
      <c r="B181" s="10">
        <f t="shared" ca="1" si="4"/>
        <v>2</v>
      </c>
      <c r="C181" s="5">
        <f t="shared" ca="1" si="5"/>
        <v>42</v>
      </c>
    </row>
    <row r="182" spans="1:3" ht="13.5" thickBot="1">
      <c r="A182" s="3">
        <v>1023652221</v>
      </c>
      <c r="B182" s="10">
        <f t="shared" ca="1" si="4"/>
        <v>5</v>
      </c>
      <c r="C182" s="5">
        <f t="shared" ca="1" si="5"/>
        <v>105</v>
      </c>
    </row>
    <row r="183" spans="1:3" ht="13.5" thickBot="1">
      <c r="A183" s="3">
        <f>A182+13</f>
        <v>1023652234</v>
      </c>
      <c r="B183" s="10">
        <f t="shared" ca="1" si="4"/>
        <v>4</v>
      </c>
      <c r="C183" s="5">
        <f t="shared" ca="1" si="5"/>
        <v>84</v>
      </c>
    </row>
    <row r="184" spans="1:3" ht="13.5" thickBot="1">
      <c r="A184" s="3">
        <v>1023652222</v>
      </c>
      <c r="B184" s="10">
        <f t="shared" ca="1" si="4"/>
        <v>4</v>
      </c>
      <c r="C184" s="5">
        <f t="shared" ca="1" si="5"/>
        <v>84</v>
      </c>
    </row>
    <row r="185" spans="1:3" ht="13.5" thickBot="1">
      <c r="A185" s="3">
        <f>A184+13</f>
        <v>1023652235</v>
      </c>
      <c r="B185" s="10">
        <f t="shared" ca="1" si="4"/>
        <v>2</v>
      </c>
      <c r="C185" s="5">
        <f t="shared" ca="1" si="5"/>
        <v>42</v>
      </c>
    </row>
    <row r="186" spans="1:3" ht="13.5" thickBot="1">
      <c r="A186" s="3">
        <v>1023652223</v>
      </c>
      <c r="B186" s="10">
        <f t="shared" ca="1" si="4"/>
        <v>5</v>
      </c>
      <c r="C186" s="5">
        <f t="shared" ca="1" si="5"/>
        <v>105</v>
      </c>
    </row>
    <row r="187" spans="1:3" ht="13.5" thickBot="1">
      <c r="A187" s="3">
        <f>A186+13</f>
        <v>1023652236</v>
      </c>
      <c r="B187" s="10">
        <f t="shared" ca="1" si="4"/>
        <v>4</v>
      </c>
      <c r="C187" s="5">
        <f t="shared" ca="1" si="5"/>
        <v>84</v>
      </c>
    </row>
    <row r="188" spans="1:3" ht="13.5" thickBot="1">
      <c r="A188" s="3">
        <v>1023652224</v>
      </c>
      <c r="B188" s="10">
        <f t="shared" ca="1" si="4"/>
        <v>2</v>
      </c>
      <c r="C188" s="5">
        <f t="shared" ca="1" si="5"/>
        <v>42</v>
      </c>
    </row>
    <row r="189" spans="1:3" ht="13.5" thickBot="1">
      <c r="A189" s="3">
        <f>A188+13</f>
        <v>1023652237</v>
      </c>
      <c r="B189" s="10">
        <f t="shared" ca="1" si="4"/>
        <v>1</v>
      </c>
      <c r="C189" s="5">
        <f t="shared" ca="1" si="5"/>
        <v>21</v>
      </c>
    </row>
    <row r="190" spans="1:3" ht="13.5" thickBot="1">
      <c r="A190" s="3">
        <v>1023652225</v>
      </c>
      <c r="B190" s="10">
        <f t="shared" ca="1" si="4"/>
        <v>5</v>
      </c>
      <c r="C190" s="5">
        <f t="shared" ca="1" si="5"/>
        <v>105</v>
      </c>
    </row>
    <row r="191" spans="1:3" ht="13.5" thickBot="1">
      <c r="A191" s="3">
        <f>A190+13</f>
        <v>1023652238</v>
      </c>
      <c r="B191" s="10">
        <f t="shared" ca="1" si="4"/>
        <v>4</v>
      </c>
      <c r="C191" s="5">
        <f t="shared" ca="1" si="5"/>
        <v>84</v>
      </c>
    </row>
    <row r="192" spans="1:3" ht="13.5" thickBot="1">
      <c r="A192" s="3">
        <v>1023652226</v>
      </c>
      <c r="B192" s="10">
        <f t="shared" ca="1" si="4"/>
        <v>3</v>
      </c>
      <c r="C192" s="5">
        <f t="shared" ca="1" si="5"/>
        <v>63</v>
      </c>
    </row>
    <row r="193" spans="1:3" ht="13.5" thickBot="1">
      <c r="A193" s="3">
        <f>A192+13</f>
        <v>1023652239</v>
      </c>
      <c r="B193" s="10">
        <f t="shared" ca="1" si="4"/>
        <v>1</v>
      </c>
      <c r="C193" s="5">
        <f t="shared" ca="1" si="5"/>
        <v>21</v>
      </c>
    </row>
    <row r="194" spans="1:3" ht="13.5" thickBot="1">
      <c r="A194" s="3">
        <v>1023652227</v>
      </c>
      <c r="B194" s="10">
        <f t="shared" ca="1" si="4"/>
        <v>5</v>
      </c>
      <c r="C194" s="5">
        <f t="shared" ca="1" si="5"/>
        <v>105</v>
      </c>
    </row>
    <row r="195" spans="1:3" ht="13.5" thickBot="1">
      <c r="A195" s="3">
        <f>A194+13</f>
        <v>1023652240</v>
      </c>
      <c r="B195" s="10">
        <f t="shared" ca="1" si="4"/>
        <v>4</v>
      </c>
      <c r="C195" s="5">
        <f t="shared" ca="1" si="5"/>
        <v>84</v>
      </c>
    </row>
    <row r="196" spans="1:3" ht="13.5" thickBot="1">
      <c r="A196" s="3">
        <v>1023652228</v>
      </c>
      <c r="B196" s="10">
        <f t="shared" ca="1" si="4"/>
        <v>5</v>
      </c>
      <c r="C196" s="5">
        <f t="shared" ca="1" si="5"/>
        <v>105</v>
      </c>
    </row>
    <row r="197" spans="1:3" ht="13.5" thickBot="1">
      <c r="A197" s="3">
        <f>A196+13</f>
        <v>1023652241</v>
      </c>
      <c r="B197" s="10">
        <f t="shared" ca="1" si="4"/>
        <v>1</v>
      </c>
      <c r="C197" s="5">
        <f t="shared" ca="1" si="5"/>
        <v>21</v>
      </c>
    </row>
    <row r="198" spans="1:3" ht="13.5" thickBot="1">
      <c r="A198" s="3">
        <v>1023652229</v>
      </c>
      <c r="B198" s="10">
        <f t="shared" ca="1" si="4"/>
        <v>5</v>
      </c>
      <c r="C198" s="5">
        <f t="shared" ca="1" si="5"/>
        <v>105</v>
      </c>
    </row>
    <row r="199" spans="1:3" ht="13.5" thickBot="1">
      <c r="A199" s="3">
        <f>A198+13</f>
        <v>1023652242</v>
      </c>
      <c r="B199" s="10">
        <f t="shared" ca="1" si="4"/>
        <v>2</v>
      </c>
      <c r="C199" s="5">
        <f t="shared" ca="1" si="5"/>
        <v>42</v>
      </c>
    </row>
    <row r="200" spans="1:3">
      <c r="A200" s="3">
        <v>1023652230</v>
      </c>
      <c r="B200" s="10">
        <f t="shared" ca="1" si="4"/>
        <v>3</v>
      </c>
      <c r="C200" s="5">
        <f t="shared" ca="1" si="5"/>
        <v>63</v>
      </c>
    </row>
    <row r="212" spans="4:4">
      <c r="D212" s="135" t="s">
        <v>282</v>
      </c>
    </row>
    <row r="213" spans="4:4">
      <c r="D213" s="135" t="s">
        <v>283</v>
      </c>
    </row>
    <row r="214" spans="4:4">
      <c r="D214" s="136" t="s">
        <v>284</v>
      </c>
    </row>
    <row r="215" spans="4:4">
      <c r="D215" s="135" t="s">
        <v>285</v>
      </c>
    </row>
  </sheetData>
  <customSheetViews>
    <customSheetView guid="{3DF5E802-5CA5-43EF-BE6A-D6FCDA5F65F2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9"/>
  <sheetViews>
    <sheetView workbookViewId="0">
      <selection activeCell="D29" sqref="D29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bestFit="1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45710.495077108208</v>
      </c>
      <c r="D4" s="29"/>
    </row>
    <row r="5" spans="1:4">
      <c r="B5" s="27" t="s">
        <v>55</v>
      </c>
      <c r="C5" s="28">
        <f t="shared" ref="C5:C27" ca="1" si="0">RAND()*1111+DATE(YEAR(TODAY()),1,1)</f>
        <v>46109.217836279</v>
      </c>
      <c r="D5" s="29"/>
    </row>
    <row r="6" spans="1:4">
      <c r="B6" s="27" t="s">
        <v>56</v>
      </c>
      <c r="C6" s="28">
        <f t="shared" ca="1" si="0"/>
        <v>45695.337015100406</v>
      </c>
      <c r="D6" s="29"/>
    </row>
    <row r="7" spans="1:4">
      <c r="B7" s="27" t="s">
        <v>57</v>
      </c>
      <c r="C7" s="28">
        <f t="shared" ca="1" si="0"/>
        <v>46306.650197424235</v>
      </c>
      <c r="D7" s="29"/>
    </row>
    <row r="8" spans="1:4">
      <c r="B8" s="27" t="s">
        <v>58</v>
      </c>
      <c r="C8" s="28">
        <f t="shared" ca="1" si="0"/>
        <v>46063.48158270547</v>
      </c>
      <c r="D8" s="29"/>
    </row>
    <row r="9" spans="1:4">
      <c r="B9" s="27" t="s">
        <v>59</v>
      </c>
      <c r="C9" s="28">
        <f t="shared" ca="1" si="0"/>
        <v>46471.126993419261</v>
      </c>
      <c r="D9" s="29"/>
    </row>
    <row r="10" spans="1:4">
      <c r="B10" s="27" t="s">
        <v>60</v>
      </c>
      <c r="C10" s="28">
        <f t="shared" ca="1" si="0"/>
        <v>45666.129615277197</v>
      </c>
      <c r="D10" s="29"/>
    </row>
    <row r="11" spans="1:4">
      <c r="B11" s="27" t="s">
        <v>61</v>
      </c>
      <c r="C11" s="28">
        <f t="shared" ca="1" si="0"/>
        <v>45837.163174096095</v>
      </c>
      <c r="D11" s="29"/>
    </row>
    <row r="12" spans="1:4">
      <c r="B12" s="27" t="s">
        <v>62</v>
      </c>
      <c r="C12" s="28">
        <f t="shared" ca="1" si="0"/>
        <v>45775.19725855397</v>
      </c>
      <c r="D12" s="29"/>
    </row>
    <row r="13" spans="1:4">
      <c r="B13" s="27" t="s">
        <v>63</v>
      </c>
      <c r="C13" s="28">
        <f t="shared" ca="1" si="0"/>
        <v>46221.744058059478</v>
      </c>
      <c r="D13" s="29"/>
    </row>
    <row r="14" spans="1:4">
      <c r="B14" s="27" t="s">
        <v>64</v>
      </c>
      <c r="C14" s="28">
        <f t="shared" ca="1" si="0"/>
        <v>45897.187602955913</v>
      </c>
      <c r="D14" s="29"/>
    </row>
    <row r="15" spans="1:4">
      <c r="B15" s="27" t="s">
        <v>97</v>
      </c>
      <c r="C15" s="28">
        <f t="shared" ca="1" si="0"/>
        <v>46533.0872949107</v>
      </c>
      <c r="D15" s="29"/>
    </row>
    <row r="16" spans="1:4">
      <c r="B16" s="27" t="s">
        <v>98</v>
      </c>
      <c r="C16" s="28">
        <f t="shared" ca="1" si="0"/>
        <v>46024.095530109349</v>
      </c>
      <c r="D16" s="29"/>
    </row>
    <row r="17" spans="2:4">
      <c r="B17" s="27" t="s">
        <v>99</v>
      </c>
      <c r="C17" s="28">
        <f t="shared" ca="1" si="0"/>
        <v>45794.444959724067</v>
      </c>
      <c r="D17" s="29"/>
    </row>
    <row r="18" spans="2:4">
      <c r="B18" s="27" t="s">
        <v>100</v>
      </c>
      <c r="C18" s="28">
        <f t="shared" ca="1" si="0"/>
        <v>45977.86987299614</v>
      </c>
      <c r="D18" s="29"/>
    </row>
    <row r="19" spans="2:4">
      <c r="B19" s="27" t="s">
        <v>101</v>
      </c>
      <c r="C19" s="28">
        <f t="shared" ca="1" si="0"/>
        <v>46354.176691037574</v>
      </c>
      <c r="D19" s="29"/>
    </row>
    <row r="20" spans="2:4">
      <c r="B20" s="27" t="s">
        <v>102</v>
      </c>
      <c r="C20" s="28">
        <f t="shared" ca="1" si="0"/>
        <v>46199.977812307086</v>
      </c>
      <c r="D20" s="29"/>
    </row>
    <row r="21" spans="2:4">
      <c r="B21" s="27" t="s">
        <v>103</v>
      </c>
      <c r="C21" s="28">
        <f t="shared" ca="1" si="0"/>
        <v>46303.904422493462</v>
      </c>
      <c r="D21" s="29"/>
    </row>
    <row r="22" spans="2:4">
      <c r="B22" s="27" t="s">
        <v>104</v>
      </c>
      <c r="C22" s="28">
        <f t="shared" ca="1" si="0"/>
        <v>45789.044086997434</v>
      </c>
      <c r="D22" s="29"/>
    </row>
    <row r="23" spans="2:4">
      <c r="B23" s="27" t="s">
        <v>105</v>
      </c>
      <c r="C23" s="28">
        <f t="shared" ca="1" si="0"/>
        <v>46084.618622488924</v>
      </c>
      <c r="D23" s="29"/>
    </row>
    <row r="24" spans="2:4">
      <c r="B24" s="27" t="s">
        <v>106</v>
      </c>
      <c r="C24" s="28">
        <f t="shared" ca="1" si="0"/>
        <v>46763.184932490032</v>
      </c>
      <c r="D24" s="29"/>
    </row>
    <row r="25" spans="2:4">
      <c r="B25" s="27" t="s">
        <v>107</v>
      </c>
      <c r="C25" s="28">
        <f t="shared" ca="1" si="0"/>
        <v>46009.516933323619</v>
      </c>
      <c r="D25" s="29"/>
    </row>
    <row r="26" spans="2:4">
      <c r="B26" s="27" t="s">
        <v>108</v>
      </c>
      <c r="C26" s="28">
        <f t="shared" ca="1" si="0"/>
        <v>45800.941125404985</v>
      </c>
      <c r="D26" s="29"/>
    </row>
    <row r="27" spans="2:4">
      <c r="B27" s="27" t="s">
        <v>109</v>
      </c>
      <c r="C27" s="28">
        <f t="shared" ca="1" si="0"/>
        <v>46349.81836588031</v>
      </c>
      <c r="D27" s="29"/>
    </row>
    <row r="29" spans="2:4">
      <c r="C29" s="25" t="s">
        <v>281</v>
      </c>
      <c r="D29" s="25" t="e">
        <f>Dat</f>
        <v>#NAME?</v>
      </c>
    </row>
  </sheetData>
  <customSheetViews>
    <customSheetView guid="{3DF5E802-5CA5-43EF-BE6A-D6FCDA5F65F2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M32" sqref="M32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9" t="s">
        <v>16</v>
      </c>
      <c r="B1" s="140"/>
      <c r="C1" s="140"/>
      <c r="D1" s="13" t="s">
        <v>17</v>
      </c>
      <c r="E1" s="13" t="s">
        <v>18</v>
      </c>
      <c r="F1" s="140" t="s">
        <v>19</v>
      </c>
      <c r="G1" s="140"/>
      <c r="H1" s="140"/>
      <c r="I1" s="140"/>
      <c r="J1" s="140"/>
      <c r="K1" s="141"/>
      <c r="L1" s="13" t="s">
        <v>85</v>
      </c>
    </row>
    <row r="2" spans="1:13" ht="15" customHeight="1">
      <c r="A2" s="96" t="s">
        <v>192</v>
      </c>
      <c r="B2" s="19" t="s">
        <v>29</v>
      </c>
      <c r="C2" s="19"/>
      <c r="D2" s="38">
        <v>34.5</v>
      </c>
      <c r="E2" s="19">
        <f ca="1">ROUND(RAND()*6+1,0)</f>
        <v>4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1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v>34.5</v>
      </c>
      <c r="E4" s="15">
        <f t="shared" ca="1" si="0"/>
        <v>1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v>34.5</v>
      </c>
      <c r="E5" s="15">
        <f t="shared" ca="1" si="0"/>
        <v>6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v>34.5</v>
      </c>
      <c r="E6" s="15">
        <f t="shared" ca="1" si="0"/>
        <v>6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v>34.5</v>
      </c>
      <c r="E7" s="15">
        <f t="shared" ca="1" si="0"/>
        <v>3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v>34.5</v>
      </c>
      <c r="E8" s="15">
        <f t="shared" ca="1" si="0"/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v>34.5</v>
      </c>
      <c r="E9" s="15">
        <f t="shared" ca="1" si="0"/>
        <v>3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v>34.5</v>
      </c>
      <c r="E10" s="15">
        <f t="shared" ca="1" si="0"/>
        <v>7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v>34.5</v>
      </c>
      <c r="E11" s="15">
        <f t="shared" ca="1" si="0"/>
        <v>3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v>34.5</v>
      </c>
      <c r="E12" s="15">
        <f t="shared" ca="1" si="0"/>
        <v>3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v>34.5</v>
      </c>
      <c r="E13" s="15">
        <f t="shared" ca="1" si="0"/>
        <v>6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v>34.5</v>
      </c>
      <c r="E14" s="15">
        <f t="shared" ca="1" si="0"/>
        <v>5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v>34.5</v>
      </c>
      <c r="E15" s="15">
        <f t="shared" ca="1" si="0"/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v>34.5</v>
      </c>
      <c r="E16" s="15">
        <f t="shared" ca="1" si="0"/>
        <v>4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v>34.5</v>
      </c>
      <c r="E17" s="15">
        <f t="shared" ca="1" si="0"/>
        <v>4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v>34.5</v>
      </c>
      <c r="E18" s="15">
        <f t="shared" ca="1" si="0"/>
        <v>6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v>34.5</v>
      </c>
      <c r="E19" s="15">
        <f t="shared" ca="1" si="0"/>
        <v>6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v>34.5</v>
      </c>
      <c r="E20" s="15">
        <f t="shared" ca="1" si="0"/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v>34.5</v>
      </c>
      <c r="E21" s="15">
        <f t="shared" ca="1" si="0"/>
        <v>4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v>34.5</v>
      </c>
      <c r="E22" s="15">
        <f t="shared" ca="1" si="0"/>
        <v>5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v>34.5</v>
      </c>
      <c r="E23" s="15">
        <f t="shared" ca="1" si="0"/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v>34.5</v>
      </c>
      <c r="E24" s="15">
        <f t="shared" ca="1" si="0"/>
        <v>5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v>34.5</v>
      </c>
      <c r="E25" s="15">
        <f t="shared" ca="1" si="0"/>
        <v>5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23" t="s">
        <v>52</v>
      </c>
      <c r="C26" s="23"/>
      <c r="D26" s="43">
        <v>34.5</v>
      </c>
      <c r="E26" s="23">
        <f t="shared" ca="1" si="0"/>
        <v>3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M32" sqref="M32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9" t="s">
        <v>16</v>
      </c>
      <c r="B1" s="140"/>
      <c r="C1" s="140"/>
      <c r="D1" s="13" t="s">
        <v>17</v>
      </c>
      <c r="E1" s="13" t="s">
        <v>18</v>
      </c>
      <c r="F1" s="140" t="s">
        <v>19</v>
      </c>
      <c r="G1" s="140"/>
      <c r="H1" s="140"/>
      <c r="I1" s="140"/>
      <c r="J1" s="140"/>
      <c r="K1" s="141"/>
      <c r="L1" s="13" t="s">
        <v>85</v>
      </c>
    </row>
    <row r="2" spans="1:13" ht="15" customHeight="1" thickTop="1">
      <c r="A2" s="96" t="s">
        <v>192</v>
      </c>
      <c r="B2" s="14" t="s">
        <v>29</v>
      </c>
      <c r="C2" s="14"/>
      <c r="D2" s="38">
        <f ca="1">ROUND(RAND()*20+10,1)</f>
        <v>27.2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f t="shared" ref="D3:D26" ca="1" si="0">ROUND(RAND()*20+10,1)</f>
        <v>22.8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f t="shared" ca="1" si="0"/>
        <v>16.7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f t="shared" ca="1" si="0"/>
        <v>14.3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f t="shared" ca="1" si="0"/>
        <v>25.8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f t="shared" ca="1" si="0"/>
        <v>12.5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f t="shared" ca="1" si="0"/>
        <v>17.399999999999999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f t="shared" ca="1" si="0"/>
        <v>14.3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f t="shared" ca="1" si="0"/>
        <v>10.4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f t="shared" ca="1" si="0"/>
        <v>21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f t="shared" ca="1" si="0"/>
        <v>11.1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f t="shared" ca="1" si="0"/>
        <v>12.9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f t="shared" ca="1" si="0"/>
        <v>17.7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f t="shared" ca="1" si="0"/>
        <v>20.8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f t="shared" ca="1" si="0"/>
        <v>11.3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f t="shared" ca="1" si="0"/>
        <v>16.399999999999999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f t="shared" ca="1" si="0"/>
        <v>26.1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f t="shared" ca="1" si="0"/>
        <v>23.8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f t="shared" ca="1" si="0"/>
        <v>21.6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f t="shared" ca="1" si="0"/>
        <v>29.4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f t="shared" ca="1" si="0"/>
        <v>14.4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f t="shared" ca="1" si="0"/>
        <v>12.8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f t="shared" ca="1" si="0"/>
        <v>27.9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f t="shared" ca="1" si="0"/>
        <v>19.600000000000001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17" t="s">
        <v>52</v>
      </c>
      <c r="C26" s="17"/>
      <c r="D26" s="43">
        <f t="shared" ca="1" si="0"/>
        <v>27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3DF5E802-5CA5-43EF-BE6A-D6FCDA5F65F2}">
      <selection activeCell="N31" sqref="N31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608615416</v>
      </c>
      <c r="B2" s="57">
        <f ca="1">ROUND(RAND()*200+10,1)</f>
        <v>198.7</v>
      </c>
      <c r="C2" s="58">
        <f ca="1">ROUND(RAND()*2+1,0)</f>
        <v>1</v>
      </c>
      <c r="D2" s="59" t="str">
        <f ca="1">VLOOKUP(C2,$R$1:$S$3,2)</f>
        <v>internet</v>
      </c>
      <c r="E2" s="64">
        <f ca="1">ROUND(RAND()*365+40179,4)</f>
        <v>40296.733800000002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602827815</v>
      </c>
      <c r="B3" s="46">
        <f t="shared" ref="B3:B26" ca="1" si="1">ROUND(RAND()*200+10,1)</f>
        <v>202.3</v>
      </c>
      <c r="C3" s="47">
        <f t="shared" ref="C3:C26" ca="1" si="2">ROUND(RAND()*2+1,0)</f>
        <v>2</v>
      </c>
      <c r="D3" s="48" t="str">
        <f t="shared" ref="D3:D51" ca="1" si="3">VLOOKUP(C3,$R$1:$S$3,2)</f>
        <v>zdrapka</v>
      </c>
      <c r="E3" s="65">
        <f t="shared" ref="E3:E51" ca="1" si="4">ROUND(RAND()*365+40179,4)</f>
        <v>40313.649599999997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600772942</v>
      </c>
      <c r="B4" s="46">
        <f t="shared" ca="1" si="1"/>
        <v>84.2</v>
      </c>
      <c r="C4" s="47">
        <f t="shared" ca="1" si="2"/>
        <v>1</v>
      </c>
      <c r="D4" s="48" t="str">
        <f t="shared" ca="1" si="3"/>
        <v>internet</v>
      </c>
      <c r="E4" s="65">
        <f t="shared" ca="1" si="4"/>
        <v>40357.923699999999</v>
      </c>
      <c r="F4" s="50"/>
    </row>
    <row r="5" spans="1:19" ht="15" customHeight="1">
      <c r="A5" s="49" t="str">
        <f t="shared" ca="1" si="0"/>
        <v>604104163</v>
      </c>
      <c r="B5" s="46">
        <f t="shared" ca="1" si="1"/>
        <v>88.4</v>
      </c>
      <c r="C5" s="47">
        <f t="shared" ca="1" si="2"/>
        <v>1</v>
      </c>
      <c r="D5" s="48" t="str">
        <f t="shared" ca="1" si="3"/>
        <v>internet</v>
      </c>
      <c r="E5" s="65">
        <f t="shared" ca="1" si="4"/>
        <v>40346.051500000001</v>
      </c>
      <c r="F5" s="50"/>
    </row>
    <row r="6" spans="1:19" ht="15" customHeight="1">
      <c r="A6" s="49" t="str">
        <f t="shared" ca="1" si="0"/>
        <v>602162156</v>
      </c>
      <c r="B6" s="46">
        <f t="shared" ca="1" si="1"/>
        <v>42.1</v>
      </c>
      <c r="C6" s="47">
        <f t="shared" ca="1" si="2"/>
        <v>1</v>
      </c>
      <c r="D6" s="48" t="str">
        <f t="shared" ca="1" si="3"/>
        <v>internet</v>
      </c>
      <c r="E6" s="65">
        <f t="shared" ca="1" si="4"/>
        <v>40194.110099999998</v>
      </c>
      <c r="F6" s="50"/>
    </row>
    <row r="7" spans="1:19" ht="15" customHeight="1">
      <c r="A7" s="49" t="str">
        <f t="shared" ca="1" si="0"/>
        <v>602753434</v>
      </c>
      <c r="B7" s="46">
        <f t="shared" ca="1" si="1"/>
        <v>133.80000000000001</v>
      </c>
      <c r="C7" s="47">
        <f t="shared" ca="1" si="2"/>
        <v>3</v>
      </c>
      <c r="D7" s="48" t="str">
        <f t="shared" ca="1" si="3"/>
        <v>bankomat</v>
      </c>
      <c r="E7" s="65">
        <f t="shared" ca="1" si="4"/>
        <v>40397.288200000003</v>
      </c>
      <c r="F7" s="50"/>
    </row>
    <row r="8" spans="1:19" ht="15" customHeight="1">
      <c r="A8" s="49" t="str">
        <f t="shared" ca="1" si="0"/>
        <v>600869809</v>
      </c>
      <c r="B8" s="46">
        <f t="shared" ca="1" si="1"/>
        <v>82.9</v>
      </c>
      <c r="C8" s="47">
        <f t="shared" ca="1" si="2"/>
        <v>2</v>
      </c>
      <c r="D8" s="48" t="str">
        <f t="shared" ca="1" si="3"/>
        <v>zdrapka</v>
      </c>
      <c r="E8" s="65">
        <f t="shared" ca="1" si="4"/>
        <v>40277.178500000002</v>
      </c>
      <c r="F8" s="50"/>
    </row>
    <row r="9" spans="1:19" ht="15" customHeight="1">
      <c r="A9" s="49" t="str">
        <f t="shared" ca="1" si="0"/>
        <v>606377953</v>
      </c>
      <c r="B9" s="46">
        <f t="shared" ca="1" si="1"/>
        <v>203.1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40520.472699999998</v>
      </c>
      <c r="F9" s="50"/>
    </row>
    <row r="10" spans="1:19" ht="15" customHeight="1">
      <c r="A10" s="49" t="str">
        <f t="shared" ca="1" si="0"/>
        <v>606819670</v>
      </c>
      <c r="B10" s="46">
        <f t="shared" ca="1" si="1"/>
        <v>163.30000000000001</v>
      </c>
      <c r="C10" s="47">
        <f t="shared" ca="1" si="2"/>
        <v>1</v>
      </c>
      <c r="D10" s="48" t="str">
        <f t="shared" ca="1" si="3"/>
        <v>internet</v>
      </c>
      <c r="E10" s="65">
        <f t="shared" ca="1" si="4"/>
        <v>40181.371400000004</v>
      </c>
      <c r="F10" s="50"/>
    </row>
    <row r="11" spans="1:19" ht="15" customHeight="1">
      <c r="A11" s="49" t="str">
        <f t="shared" ca="1" si="0"/>
        <v>602812626</v>
      </c>
      <c r="B11" s="46">
        <f t="shared" ca="1" si="1"/>
        <v>170.3</v>
      </c>
      <c r="C11" s="47">
        <f t="shared" ca="1" si="2"/>
        <v>3</v>
      </c>
      <c r="D11" s="48" t="str">
        <f t="shared" ca="1" si="3"/>
        <v>bankomat</v>
      </c>
      <c r="E11" s="65">
        <f t="shared" ca="1" si="4"/>
        <v>40201.836600000002</v>
      </c>
      <c r="F11" s="50"/>
    </row>
    <row r="12" spans="1:19" ht="15" customHeight="1">
      <c r="A12" s="49" t="str">
        <f t="shared" ca="1" si="0"/>
        <v>606364556</v>
      </c>
      <c r="B12" s="46">
        <f t="shared" ca="1" si="1"/>
        <v>199.1</v>
      </c>
      <c r="C12" s="47">
        <f t="shared" ca="1" si="2"/>
        <v>2</v>
      </c>
      <c r="D12" s="48" t="str">
        <f t="shared" ca="1" si="3"/>
        <v>zdrapka</v>
      </c>
      <c r="E12" s="65">
        <f t="shared" ca="1" si="4"/>
        <v>40271.459499999997</v>
      </c>
      <c r="F12" s="50"/>
    </row>
    <row r="13" spans="1:19" ht="15" customHeight="1">
      <c r="A13" s="49" t="str">
        <f t="shared" ca="1" si="0"/>
        <v>602770406</v>
      </c>
      <c r="B13" s="46">
        <f t="shared" ca="1" si="1"/>
        <v>146.69999999999999</v>
      </c>
      <c r="C13" s="47">
        <f t="shared" ca="1" si="2"/>
        <v>1</v>
      </c>
      <c r="D13" s="48" t="str">
        <f t="shared" ca="1" si="3"/>
        <v>internet</v>
      </c>
      <c r="E13" s="65">
        <f t="shared" ca="1" si="4"/>
        <v>40278.795400000003</v>
      </c>
      <c r="F13" s="50"/>
    </row>
    <row r="14" spans="1:19" ht="15" customHeight="1">
      <c r="A14" s="49" t="str">
        <f t="shared" ca="1" si="0"/>
        <v>606381669</v>
      </c>
      <c r="B14" s="46">
        <f t="shared" ca="1" si="1"/>
        <v>171.9</v>
      </c>
      <c r="C14" s="47">
        <f t="shared" ca="1" si="2"/>
        <v>2</v>
      </c>
      <c r="D14" s="48" t="str">
        <f t="shared" ca="1" si="3"/>
        <v>zdrapka</v>
      </c>
      <c r="E14" s="65">
        <f t="shared" ca="1" si="4"/>
        <v>40253.862999999998</v>
      </c>
      <c r="F14" s="50"/>
    </row>
    <row r="15" spans="1:19" ht="15" customHeight="1">
      <c r="A15" s="49" t="str">
        <f t="shared" ca="1" si="0"/>
        <v>602772328</v>
      </c>
      <c r="B15" s="46">
        <f t="shared" ca="1" si="1"/>
        <v>166.2</v>
      </c>
      <c r="C15" s="47">
        <f t="shared" ca="1" si="2"/>
        <v>2</v>
      </c>
      <c r="D15" s="48" t="str">
        <f t="shared" ca="1" si="3"/>
        <v>zdrapka</v>
      </c>
      <c r="E15" s="65">
        <f t="shared" ca="1" si="4"/>
        <v>40418.622199999998</v>
      </c>
      <c r="F15" s="50"/>
    </row>
    <row r="16" spans="1:19" ht="15" customHeight="1">
      <c r="A16" s="49" t="str">
        <f t="shared" ca="1" si="0"/>
        <v>604255265</v>
      </c>
      <c r="B16" s="46">
        <f t="shared" ca="1" si="1"/>
        <v>207.7</v>
      </c>
      <c r="C16" s="47">
        <f t="shared" ca="1" si="2"/>
        <v>2</v>
      </c>
      <c r="D16" s="48" t="str">
        <f t="shared" ca="1" si="3"/>
        <v>zdrapka</v>
      </c>
      <c r="E16" s="65">
        <f t="shared" ca="1" si="4"/>
        <v>40242.356399999997</v>
      </c>
      <c r="F16" s="50"/>
      <c r="G16" s="42"/>
    </row>
    <row r="17" spans="1:7" ht="15" customHeight="1">
      <c r="A17" s="49" t="str">
        <f t="shared" ca="1" si="0"/>
        <v>600888595</v>
      </c>
      <c r="B17" s="46">
        <f t="shared" ca="1" si="1"/>
        <v>202.6</v>
      </c>
      <c r="C17" s="47">
        <f t="shared" ca="1" si="2"/>
        <v>2</v>
      </c>
      <c r="D17" s="48" t="str">
        <f t="shared" ca="1" si="3"/>
        <v>zdrapka</v>
      </c>
      <c r="E17" s="65">
        <f t="shared" ca="1" si="4"/>
        <v>40520.473899999997</v>
      </c>
      <c r="F17" s="50"/>
      <c r="G17" s="42"/>
    </row>
    <row r="18" spans="1:7" ht="15" customHeight="1">
      <c r="A18" s="49" t="str">
        <f t="shared" ca="1" si="0"/>
        <v>604307238</v>
      </c>
      <c r="B18" s="46">
        <f t="shared" ca="1" si="1"/>
        <v>162.4</v>
      </c>
      <c r="C18" s="47">
        <f t="shared" ca="1" si="2"/>
        <v>2</v>
      </c>
      <c r="D18" s="48" t="str">
        <f t="shared" ca="1" si="3"/>
        <v>zdrapka</v>
      </c>
      <c r="E18" s="65">
        <f t="shared" ca="1" si="4"/>
        <v>40501.622799999997</v>
      </c>
      <c r="F18" s="50"/>
      <c r="G18" s="42"/>
    </row>
    <row r="19" spans="1:7" ht="15" customHeight="1">
      <c r="A19" s="49" t="str">
        <f t="shared" ca="1" si="0"/>
        <v>602303338</v>
      </c>
      <c r="B19" s="46">
        <f t="shared" ca="1" si="1"/>
        <v>156.30000000000001</v>
      </c>
      <c r="C19" s="47">
        <f t="shared" ca="1" si="2"/>
        <v>2</v>
      </c>
      <c r="D19" s="48" t="str">
        <f t="shared" ca="1" si="3"/>
        <v>zdrapka</v>
      </c>
      <c r="E19" s="65">
        <f t="shared" ca="1" si="4"/>
        <v>40357.283499999998</v>
      </c>
      <c r="F19" s="50"/>
      <c r="G19" s="42"/>
    </row>
    <row r="20" spans="1:7" ht="15" customHeight="1">
      <c r="A20" s="49" t="str">
        <f t="shared" ca="1" si="0"/>
        <v>608127245</v>
      </c>
      <c r="B20" s="46">
        <f t="shared" ca="1" si="1"/>
        <v>184.2</v>
      </c>
      <c r="C20" s="47">
        <f t="shared" ca="1" si="2"/>
        <v>3</v>
      </c>
      <c r="D20" s="48" t="str">
        <f t="shared" ca="1" si="3"/>
        <v>bankomat</v>
      </c>
      <c r="E20" s="65">
        <f t="shared" ca="1" si="4"/>
        <v>40255.926299999999</v>
      </c>
      <c r="F20" s="50"/>
      <c r="G20" s="42"/>
    </row>
    <row r="21" spans="1:7" ht="15" customHeight="1">
      <c r="A21" s="49" t="str">
        <f t="shared" ca="1" si="0"/>
        <v>606291239</v>
      </c>
      <c r="B21" s="46">
        <f t="shared" ca="1" si="1"/>
        <v>96.9</v>
      </c>
      <c r="C21" s="47">
        <f t="shared" ca="1" si="2"/>
        <v>2</v>
      </c>
      <c r="D21" s="48" t="str">
        <f t="shared" ca="1" si="3"/>
        <v>zdrapka</v>
      </c>
      <c r="E21" s="65">
        <f t="shared" ca="1" si="4"/>
        <v>40304.318099999997</v>
      </c>
      <c r="F21" s="50"/>
      <c r="G21" s="42"/>
    </row>
    <row r="22" spans="1:7" ht="15" customHeight="1">
      <c r="A22" s="49" t="str">
        <f t="shared" ca="1" si="0"/>
        <v>608665664</v>
      </c>
      <c r="B22" s="46">
        <f t="shared" ca="1" si="1"/>
        <v>63.7</v>
      </c>
      <c r="C22" s="47">
        <f t="shared" ca="1" si="2"/>
        <v>3</v>
      </c>
      <c r="D22" s="48" t="str">
        <f t="shared" ca="1" si="3"/>
        <v>bankomat</v>
      </c>
      <c r="E22" s="65">
        <f t="shared" ca="1" si="4"/>
        <v>40518.840700000001</v>
      </c>
      <c r="F22" s="50"/>
    </row>
    <row r="23" spans="1:7" ht="15" customHeight="1">
      <c r="A23" s="49" t="str">
        <f t="shared" ca="1" si="0"/>
        <v>600848359</v>
      </c>
      <c r="B23" s="46">
        <f t="shared" ca="1" si="1"/>
        <v>83.3</v>
      </c>
      <c r="C23" s="47">
        <f t="shared" ca="1" si="2"/>
        <v>3</v>
      </c>
      <c r="D23" s="48" t="str">
        <f t="shared" ca="1" si="3"/>
        <v>bankomat</v>
      </c>
      <c r="E23" s="65">
        <f t="shared" ca="1" si="4"/>
        <v>40524.932200000003</v>
      </c>
      <c r="F23" s="50"/>
    </row>
    <row r="24" spans="1:7" ht="15" customHeight="1">
      <c r="A24" s="49" t="str">
        <f t="shared" ca="1" si="0"/>
        <v>602269671</v>
      </c>
      <c r="B24" s="46">
        <f t="shared" ca="1" si="1"/>
        <v>114.3</v>
      </c>
      <c r="C24" s="47">
        <f t="shared" ca="1" si="2"/>
        <v>2</v>
      </c>
      <c r="D24" s="48" t="str">
        <f t="shared" ca="1" si="3"/>
        <v>zdrapka</v>
      </c>
      <c r="E24" s="65">
        <f t="shared" ca="1" si="4"/>
        <v>40198.257899999997</v>
      </c>
      <c r="F24" s="50"/>
    </row>
    <row r="25" spans="1:7" ht="15" customHeight="1">
      <c r="A25" s="49" t="str">
        <f t="shared" ca="1" si="0"/>
        <v>606325856</v>
      </c>
      <c r="B25" s="46">
        <f t="shared" ca="1" si="1"/>
        <v>75.5</v>
      </c>
      <c r="C25" s="47">
        <f t="shared" ca="1" si="2"/>
        <v>1</v>
      </c>
      <c r="D25" s="48" t="str">
        <f t="shared" ca="1" si="3"/>
        <v>internet</v>
      </c>
      <c r="E25" s="65">
        <f t="shared" ca="1" si="4"/>
        <v>40340.984299999996</v>
      </c>
      <c r="F25" s="50"/>
    </row>
    <row r="26" spans="1:7" ht="15" customHeight="1">
      <c r="A26" s="49" t="str">
        <f t="shared" ca="1" si="0"/>
        <v>604673615</v>
      </c>
      <c r="B26" s="46">
        <f t="shared" ca="1" si="1"/>
        <v>62.4</v>
      </c>
      <c r="C26" s="47">
        <f t="shared" ca="1" si="2"/>
        <v>1</v>
      </c>
      <c r="D26" s="48" t="str">
        <f t="shared" ca="1" si="3"/>
        <v>internet</v>
      </c>
      <c r="E26" s="65">
        <f t="shared" ca="1" si="4"/>
        <v>40503.615299999998</v>
      </c>
      <c r="F26" s="50"/>
    </row>
    <row r="27" spans="1:7" ht="15">
      <c r="A27" s="49" t="str">
        <f t="shared" ca="1" si="0"/>
        <v>604120127</v>
      </c>
      <c r="B27" s="46">
        <f ca="1">ROUND(RAND()*200+10,1)</f>
        <v>142.5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40188.7209</v>
      </c>
      <c r="F27" s="50"/>
    </row>
    <row r="28" spans="1:7" ht="15">
      <c r="A28" s="49" t="str">
        <f t="shared" ca="1" si="0"/>
        <v>608477961</v>
      </c>
      <c r="B28" s="46">
        <f t="shared" ref="B28:B51" ca="1" si="5">ROUND(RAND()*200+10,1)</f>
        <v>78.900000000000006</v>
      </c>
      <c r="C28" s="47">
        <f t="shared" ref="C28:C51" ca="1" si="6">ROUND(RAND()*2+1,0)</f>
        <v>2</v>
      </c>
      <c r="D28" s="48" t="str">
        <f t="shared" ca="1" si="3"/>
        <v>zdrapka</v>
      </c>
      <c r="E28" s="65">
        <f t="shared" ca="1" si="4"/>
        <v>40286.127800000002</v>
      </c>
      <c r="F28" s="50"/>
    </row>
    <row r="29" spans="1:7" ht="15">
      <c r="A29" s="49" t="str">
        <f t="shared" ca="1" si="0"/>
        <v>604548741</v>
      </c>
      <c r="B29" s="46">
        <f t="shared" ca="1" si="5"/>
        <v>159.19999999999999</v>
      </c>
      <c r="C29" s="47">
        <f t="shared" ca="1" si="6"/>
        <v>2</v>
      </c>
      <c r="D29" s="48" t="str">
        <f t="shared" ca="1" si="3"/>
        <v>zdrapka</v>
      </c>
      <c r="E29" s="65">
        <f t="shared" ca="1" si="4"/>
        <v>40208.597399999999</v>
      </c>
      <c r="F29" s="50"/>
    </row>
    <row r="30" spans="1:7" ht="15">
      <c r="A30" s="49" t="str">
        <f t="shared" ca="1" si="0"/>
        <v>602624171</v>
      </c>
      <c r="B30" s="46">
        <f t="shared" ca="1" si="5"/>
        <v>201.4</v>
      </c>
      <c r="C30" s="47">
        <f t="shared" ca="1" si="6"/>
        <v>2</v>
      </c>
      <c r="D30" s="48" t="str">
        <f t="shared" ca="1" si="3"/>
        <v>zdrapka</v>
      </c>
      <c r="E30" s="65">
        <f t="shared" ca="1" si="4"/>
        <v>40380.194900000002</v>
      </c>
      <c r="F30" s="50"/>
    </row>
    <row r="31" spans="1:7" ht="15">
      <c r="A31" s="49" t="str">
        <f t="shared" ca="1" si="0"/>
        <v>604397920</v>
      </c>
      <c r="B31" s="46">
        <f t="shared" ca="1" si="5"/>
        <v>84.9</v>
      </c>
      <c r="C31" s="47">
        <f t="shared" ca="1" si="6"/>
        <v>3</v>
      </c>
      <c r="D31" s="48" t="str">
        <f t="shared" ca="1" si="3"/>
        <v>bankomat</v>
      </c>
      <c r="E31" s="65">
        <f t="shared" ca="1" si="4"/>
        <v>40518.263700000003</v>
      </c>
      <c r="F31" s="50"/>
    </row>
    <row r="32" spans="1:7" ht="15">
      <c r="A32" s="49" t="str">
        <f t="shared" ca="1" si="0"/>
        <v>606254702</v>
      </c>
      <c r="B32" s="46">
        <f t="shared" ca="1" si="5"/>
        <v>130.4</v>
      </c>
      <c r="C32" s="47">
        <f t="shared" ca="1" si="6"/>
        <v>3</v>
      </c>
      <c r="D32" s="48" t="str">
        <f t="shared" ca="1" si="3"/>
        <v>bankomat</v>
      </c>
      <c r="E32" s="65">
        <f t="shared" ca="1" si="4"/>
        <v>40189.273800000003</v>
      </c>
      <c r="F32" s="50"/>
    </row>
    <row r="33" spans="1:6" ht="15">
      <c r="A33" s="49" t="str">
        <f t="shared" ca="1" si="0"/>
        <v>604316131</v>
      </c>
      <c r="B33" s="46">
        <f t="shared" ca="1" si="5"/>
        <v>94.6</v>
      </c>
      <c r="C33" s="47">
        <f t="shared" ca="1" si="6"/>
        <v>2</v>
      </c>
      <c r="D33" s="48" t="str">
        <f t="shared" ca="1" si="3"/>
        <v>zdrapka</v>
      </c>
      <c r="E33" s="65">
        <f t="shared" ca="1" si="4"/>
        <v>40240.215100000001</v>
      </c>
      <c r="F33" s="50"/>
    </row>
    <row r="34" spans="1:6" ht="15">
      <c r="A34" s="49" t="str">
        <f t="shared" ca="1" si="0"/>
        <v>606880092</v>
      </c>
      <c r="B34" s="46">
        <f t="shared" ca="1" si="5"/>
        <v>56.7</v>
      </c>
      <c r="C34" s="47">
        <f t="shared" ca="1" si="6"/>
        <v>3</v>
      </c>
      <c r="D34" s="48" t="str">
        <f t="shared" ca="1" si="3"/>
        <v>bankomat</v>
      </c>
      <c r="E34" s="65">
        <f t="shared" ca="1" si="4"/>
        <v>40415.6158</v>
      </c>
      <c r="F34" s="50"/>
    </row>
    <row r="35" spans="1:6" ht="15">
      <c r="A35" s="49" t="str">
        <f t="shared" ca="1" si="0"/>
        <v>600642473</v>
      </c>
      <c r="B35" s="46">
        <f t="shared" ca="1" si="5"/>
        <v>132.19999999999999</v>
      </c>
      <c r="C35" s="47">
        <f t="shared" ca="1" si="6"/>
        <v>2</v>
      </c>
      <c r="D35" s="48" t="str">
        <f t="shared" ca="1" si="3"/>
        <v>zdrapka</v>
      </c>
      <c r="E35" s="65">
        <f t="shared" ca="1" si="4"/>
        <v>40261.599800000004</v>
      </c>
      <c r="F35" s="50"/>
    </row>
    <row r="36" spans="1:6" ht="15">
      <c r="A36" s="49" t="str">
        <f t="shared" ca="1" si="0"/>
        <v>604411469</v>
      </c>
      <c r="B36" s="46">
        <f t="shared" ca="1" si="5"/>
        <v>107.5</v>
      </c>
      <c r="C36" s="47">
        <f t="shared" ca="1" si="6"/>
        <v>3</v>
      </c>
      <c r="D36" s="48" t="str">
        <f t="shared" ca="1" si="3"/>
        <v>bankomat</v>
      </c>
      <c r="E36" s="65">
        <f t="shared" ca="1" si="4"/>
        <v>40520.511700000003</v>
      </c>
      <c r="F36" s="50"/>
    </row>
    <row r="37" spans="1:6" ht="15">
      <c r="A37" s="49" t="str">
        <f t="shared" ca="1" si="0"/>
        <v>606371605</v>
      </c>
      <c r="B37" s="46">
        <f t="shared" ca="1" si="5"/>
        <v>162.4</v>
      </c>
      <c r="C37" s="47">
        <f t="shared" ca="1" si="6"/>
        <v>3</v>
      </c>
      <c r="D37" s="48" t="str">
        <f t="shared" ca="1" si="3"/>
        <v>bankomat</v>
      </c>
      <c r="E37" s="65">
        <f t="shared" ca="1" si="4"/>
        <v>40400.827799999999</v>
      </c>
      <c r="F37" s="50"/>
    </row>
    <row r="38" spans="1:6" ht="15">
      <c r="A38" s="49" t="str">
        <f t="shared" ca="1" si="0"/>
        <v>608516620</v>
      </c>
      <c r="B38" s="46">
        <f t="shared" ca="1" si="5"/>
        <v>71.599999999999994</v>
      </c>
      <c r="C38" s="47">
        <f t="shared" ca="1" si="6"/>
        <v>1</v>
      </c>
      <c r="D38" s="48" t="str">
        <f t="shared" ca="1" si="3"/>
        <v>internet</v>
      </c>
      <c r="E38" s="65">
        <f t="shared" ca="1" si="4"/>
        <v>40440.346400000002</v>
      </c>
      <c r="F38" s="50"/>
    </row>
    <row r="39" spans="1:6" ht="15">
      <c r="A39" s="49" t="str">
        <f t="shared" ca="1" si="0"/>
        <v>602802007</v>
      </c>
      <c r="B39" s="46">
        <f t="shared" ca="1" si="5"/>
        <v>153.80000000000001</v>
      </c>
      <c r="C39" s="47">
        <f t="shared" ca="1" si="6"/>
        <v>3</v>
      </c>
      <c r="D39" s="48" t="str">
        <f t="shared" ca="1" si="3"/>
        <v>bankomat</v>
      </c>
      <c r="E39" s="65">
        <f t="shared" ca="1" si="4"/>
        <v>40279.287600000003</v>
      </c>
      <c r="F39" s="50"/>
    </row>
    <row r="40" spans="1:6" ht="15">
      <c r="A40" s="49" t="str">
        <f t="shared" ca="1" si="0"/>
        <v>608571813</v>
      </c>
      <c r="B40" s="46">
        <f t="shared" ca="1" si="5"/>
        <v>174.1</v>
      </c>
      <c r="C40" s="47">
        <f t="shared" ca="1" si="6"/>
        <v>2</v>
      </c>
      <c r="D40" s="48" t="str">
        <f t="shared" ca="1" si="3"/>
        <v>zdrapka</v>
      </c>
      <c r="E40" s="65">
        <f t="shared" ca="1" si="4"/>
        <v>40388.616000000002</v>
      </c>
      <c r="F40" s="50"/>
    </row>
    <row r="41" spans="1:6" ht="15">
      <c r="A41" s="49" t="str">
        <f t="shared" ca="1" si="0"/>
        <v>602584658</v>
      </c>
      <c r="B41" s="46">
        <f t="shared" ca="1" si="5"/>
        <v>10</v>
      </c>
      <c r="C41" s="47">
        <f t="shared" ca="1" si="6"/>
        <v>3</v>
      </c>
      <c r="D41" s="48" t="str">
        <f t="shared" ca="1" si="3"/>
        <v>bankomat</v>
      </c>
      <c r="E41" s="65">
        <f t="shared" ca="1" si="4"/>
        <v>40429.970200000003</v>
      </c>
      <c r="F41" s="50"/>
    </row>
    <row r="42" spans="1:6" ht="15">
      <c r="A42" s="49" t="str">
        <f t="shared" ca="1" si="0"/>
        <v>606446524</v>
      </c>
      <c r="B42" s="46">
        <f t="shared" ca="1" si="5"/>
        <v>97</v>
      </c>
      <c r="C42" s="47">
        <f t="shared" ca="1" si="6"/>
        <v>3</v>
      </c>
      <c r="D42" s="48" t="str">
        <f t="shared" ca="1" si="3"/>
        <v>bankomat</v>
      </c>
      <c r="E42" s="65">
        <f t="shared" ca="1" si="4"/>
        <v>40280.761700000003</v>
      </c>
      <c r="F42" s="50"/>
    </row>
    <row r="43" spans="1:6" ht="15">
      <c r="A43" s="49" t="str">
        <f t="shared" ca="1" si="0"/>
        <v>602668691</v>
      </c>
      <c r="B43" s="46">
        <f t="shared" ca="1" si="5"/>
        <v>208.1</v>
      </c>
      <c r="C43" s="47">
        <f t="shared" ca="1" si="6"/>
        <v>1</v>
      </c>
      <c r="D43" s="48" t="str">
        <f t="shared" ca="1" si="3"/>
        <v>internet</v>
      </c>
      <c r="E43" s="65">
        <f t="shared" ca="1" si="4"/>
        <v>40391.156499999997</v>
      </c>
      <c r="F43" s="50"/>
    </row>
    <row r="44" spans="1:6" ht="15">
      <c r="A44" s="49" t="str">
        <f t="shared" ca="1" si="0"/>
        <v>604334309</v>
      </c>
      <c r="B44" s="46">
        <f t="shared" ca="1" si="5"/>
        <v>188.9</v>
      </c>
      <c r="C44" s="47">
        <f t="shared" ca="1" si="6"/>
        <v>3</v>
      </c>
      <c r="D44" s="48" t="str">
        <f t="shared" ca="1" si="3"/>
        <v>bankomat</v>
      </c>
      <c r="E44" s="65">
        <f t="shared" ca="1" si="4"/>
        <v>40188.351600000002</v>
      </c>
      <c r="F44" s="50"/>
    </row>
    <row r="45" spans="1:6" ht="15">
      <c r="A45" s="49" t="str">
        <f t="shared" ca="1" si="0"/>
        <v>606187538</v>
      </c>
      <c r="B45" s="46">
        <f t="shared" ca="1" si="5"/>
        <v>108.9</v>
      </c>
      <c r="C45" s="47">
        <f t="shared" ca="1" si="6"/>
        <v>2</v>
      </c>
      <c r="D45" s="48" t="str">
        <f t="shared" ca="1" si="3"/>
        <v>zdrapka</v>
      </c>
      <c r="E45" s="65">
        <f t="shared" ca="1" si="4"/>
        <v>40468.277699999999</v>
      </c>
      <c r="F45" s="50"/>
    </row>
    <row r="46" spans="1:6" ht="15">
      <c r="A46" s="49" t="str">
        <f t="shared" ca="1" si="0"/>
        <v>604742283</v>
      </c>
      <c r="B46" s="46">
        <f t="shared" ca="1" si="5"/>
        <v>58.9</v>
      </c>
      <c r="C46" s="47">
        <f t="shared" ca="1" si="6"/>
        <v>2</v>
      </c>
      <c r="D46" s="48" t="str">
        <f t="shared" ca="1" si="3"/>
        <v>zdrapka</v>
      </c>
      <c r="E46" s="65">
        <f t="shared" ca="1" si="4"/>
        <v>40290.688199999997</v>
      </c>
      <c r="F46" s="50"/>
    </row>
    <row r="47" spans="1:6" ht="15">
      <c r="A47" s="49" t="str">
        <f t="shared" ca="1" si="0"/>
        <v>608162163</v>
      </c>
      <c r="B47" s="46">
        <f t="shared" ca="1" si="5"/>
        <v>199.5</v>
      </c>
      <c r="C47" s="47">
        <f t="shared" ca="1" si="6"/>
        <v>3</v>
      </c>
      <c r="D47" s="48" t="str">
        <f t="shared" ca="1" si="3"/>
        <v>bankomat</v>
      </c>
      <c r="E47" s="65">
        <f t="shared" ca="1" si="4"/>
        <v>40485.100400000003</v>
      </c>
      <c r="F47" s="50"/>
    </row>
    <row r="48" spans="1:6" ht="15">
      <c r="A48" s="49" t="str">
        <f t="shared" ca="1" si="0"/>
        <v>602325059</v>
      </c>
      <c r="B48" s="46">
        <f t="shared" ca="1" si="5"/>
        <v>117.8</v>
      </c>
      <c r="C48" s="47">
        <f t="shared" ca="1" si="6"/>
        <v>3</v>
      </c>
      <c r="D48" s="48" t="str">
        <f t="shared" ca="1" si="3"/>
        <v>bankomat</v>
      </c>
      <c r="E48" s="65">
        <f t="shared" ca="1" si="4"/>
        <v>40268.524400000002</v>
      </c>
      <c r="F48" s="50"/>
    </row>
    <row r="49" spans="1:6" ht="15">
      <c r="A49" s="49" t="str">
        <f t="shared" ca="1" si="0"/>
        <v>604235698</v>
      </c>
      <c r="B49" s="46">
        <f t="shared" ca="1" si="5"/>
        <v>85.4</v>
      </c>
      <c r="C49" s="47">
        <f t="shared" ca="1" si="6"/>
        <v>2</v>
      </c>
      <c r="D49" s="48" t="str">
        <f t="shared" ca="1" si="3"/>
        <v>zdrapka</v>
      </c>
      <c r="E49" s="65">
        <f t="shared" ca="1" si="4"/>
        <v>40446.301200000002</v>
      </c>
      <c r="F49" s="50"/>
    </row>
    <row r="50" spans="1:6" ht="15">
      <c r="A50" s="49" t="str">
        <f t="shared" ca="1" si="0"/>
        <v>600432396</v>
      </c>
      <c r="B50" s="46">
        <f t="shared" ca="1" si="5"/>
        <v>201.1</v>
      </c>
      <c r="C50" s="47">
        <f t="shared" ca="1" si="6"/>
        <v>3</v>
      </c>
      <c r="D50" s="48" t="str">
        <f t="shared" ca="1" si="3"/>
        <v>bankomat</v>
      </c>
      <c r="E50" s="65">
        <f t="shared" ca="1" si="4"/>
        <v>40404.994200000001</v>
      </c>
      <c r="F50" s="50"/>
    </row>
    <row r="51" spans="1:6" ht="15.75" thickBot="1">
      <c r="A51" s="51" t="str">
        <f t="shared" ca="1" si="0"/>
        <v>604748082</v>
      </c>
      <c r="B51" s="52">
        <f t="shared" ca="1" si="5"/>
        <v>14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40319.564200000001</v>
      </c>
      <c r="F51" s="55"/>
    </row>
  </sheetData>
  <customSheetViews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888381768</v>
      </c>
      <c r="B2" s="68">
        <f ca="1">IF(RAND()&lt;0.7,20,5)</f>
        <v>20</v>
      </c>
      <c r="C2" s="57">
        <f ca="1">ROUND(RAND()*200+10,1)</f>
        <v>138.19999999999999</v>
      </c>
      <c r="D2" s="64">
        <f ca="1">ROUND(RAND()*365+40179,4)</f>
        <v>40262.545700000002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882717979</v>
      </c>
      <c r="B3" s="68">
        <f t="shared" ref="B3:B51" ca="1" si="1">IF(RAND()&lt;0.7,20,5)</f>
        <v>5</v>
      </c>
      <c r="C3" s="46">
        <f t="shared" ref="C3:C26" ca="1" si="2">ROUND(RAND()*200+10,1)</f>
        <v>46.3</v>
      </c>
      <c r="D3" s="65">
        <f t="shared" ref="D3:D51" ca="1" si="3">ROUND(RAND()*365+40179,4)</f>
        <v>40404.197099999998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884853743</v>
      </c>
      <c r="B4" s="68">
        <f t="shared" ca="1" si="1"/>
        <v>20</v>
      </c>
      <c r="C4" s="46">
        <f t="shared" ca="1" si="2"/>
        <v>52.3</v>
      </c>
      <c r="D4" s="65">
        <f t="shared" ca="1" si="3"/>
        <v>40512.589599999999</v>
      </c>
      <c r="E4" s="50"/>
    </row>
    <row r="5" spans="1:18" ht="15" customHeight="1">
      <c r="A5" s="56" t="str">
        <f t="shared" ca="1" si="0"/>
        <v>882314467</v>
      </c>
      <c r="B5" s="68">
        <f t="shared" ca="1" si="1"/>
        <v>20</v>
      </c>
      <c r="C5" s="46">
        <f t="shared" ca="1" si="2"/>
        <v>38.299999999999997</v>
      </c>
      <c r="D5" s="65">
        <f t="shared" ca="1" si="3"/>
        <v>40461.789100000002</v>
      </c>
      <c r="E5" s="50"/>
    </row>
    <row r="6" spans="1:18" ht="15" customHeight="1">
      <c r="A6" s="56" t="str">
        <f t="shared" ca="1" si="0"/>
        <v>884651841</v>
      </c>
      <c r="B6" s="68">
        <f t="shared" ca="1" si="1"/>
        <v>20</v>
      </c>
      <c r="C6" s="46">
        <f t="shared" ca="1" si="2"/>
        <v>54</v>
      </c>
      <c r="D6" s="65">
        <f t="shared" ca="1" si="3"/>
        <v>40406.580199999997</v>
      </c>
      <c r="E6" s="50"/>
    </row>
    <row r="7" spans="1:18" ht="15" customHeight="1">
      <c r="A7" s="56" t="str">
        <f t="shared" ca="1" si="0"/>
        <v>886699030</v>
      </c>
      <c r="B7" s="68">
        <f t="shared" ca="1" si="1"/>
        <v>5</v>
      </c>
      <c r="C7" s="46">
        <f t="shared" ca="1" si="2"/>
        <v>84</v>
      </c>
      <c r="D7" s="65">
        <f t="shared" ca="1" si="3"/>
        <v>40524.138899999998</v>
      </c>
      <c r="E7" s="50"/>
    </row>
    <row r="8" spans="1:18" ht="15" customHeight="1">
      <c r="A8" s="56" t="str">
        <f t="shared" ca="1" si="0"/>
        <v>882558297</v>
      </c>
      <c r="B8" s="68">
        <f t="shared" ca="1" si="1"/>
        <v>20</v>
      </c>
      <c r="C8" s="46">
        <f t="shared" ca="1" si="2"/>
        <v>153.1</v>
      </c>
      <c r="D8" s="65">
        <f t="shared" ca="1" si="3"/>
        <v>40476.694900000002</v>
      </c>
      <c r="E8" s="50"/>
    </row>
    <row r="9" spans="1:18" ht="15" customHeight="1">
      <c r="A9" s="56" t="str">
        <f t="shared" ca="1" si="0"/>
        <v>882460517</v>
      </c>
      <c r="B9" s="68">
        <f t="shared" ca="1" si="1"/>
        <v>20</v>
      </c>
      <c r="C9" s="46">
        <f t="shared" ca="1" si="2"/>
        <v>83.5</v>
      </c>
      <c r="D9" s="65">
        <f t="shared" ca="1" si="3"/>
        <v>40252.1224</v>
      </c>
      <c r="E9" s="50"/>
    </row>
    <row r="10" spans="1:18" ht="15" customHeight="1">
      <c r="A10" s="56" t="str">
        <f t="shared" ca="1" si="0"/>
        <v>886398864</v>
      </c>
      <c r="B10" s="68">
        <f t="shared" ca="1" si="1"/>
        <v>20</v>
      </c>
      <c r="C10" s="46">
        <f t="shared" ca="1" si="2"/>
        <v>164.5</v>
      </c>
      <c r="D10" s="65">
        <f t="shared" ca="1" si="3"/>
        <v>40224.9303</v>
      </c>
      <c r="E10" s="50"/>
    </row>
    <row r="11" spans="1:18" ht="15" customHeight="1">
      <c r="A11" s="56" t="str">
        <f t="shared" ca="1" si="0"/>
        <v>880768747</v>
      </c>
      <c r="B11" s="68">
        <f t="shared" ca="1" si="1"/>
        <v>20</v>
      </c>
      <c r="C11" s="46">
        <f t="shared" ca="1" si="2"/>
        <v>95.2</v>
      </c>
      <c r="D11" s="65">
        <f t="shared" ca="1" si="3"/>
        <v>40440.823499999999</v>
      </c>
      <c r="E11" s="50"/>
    </row>
    <row r="12" spans="1:18" ht="15" customHeight="1">
      <c r="A12" s="56" t="str">
        <f t="shared" ca="1" si="0"/>
        <v>886648911</v>
      </c>
      <c r="B12" s="68">
        <f t="shared" ca="1" si="1"/>
        <v>20</v>
      </c>
      <c r="C12" s="46">
        <f t="shared" ca="1" si="2"/>
        <v>146</v>
      </c>
      <c r="D12" s="65">
        <f t="shared" ca="1" si="3"/>
        <v>40314.016199999998</v>
      </c>
      <c r="E12" s="50"/>
    </row>
    <row r="13" spans="1:18" ht="15" customHeight="1">
      <c r="A13" s="56" t="str">
        <f t="shared" ca="1" si="0"/>
        <v>886314494</v>
      </c>
      <c r="B13" s="68">
        <f t="shared" ca="1" si="1"/>
        <v>20</v>
      </c>
      <c r="C13" s="46">
        <f t="shared" ca="1" si="2"/>
        <v>199.6</v>
      </c>
      <c r="D13" s="65">
        <f t="shared" ca="1" si="3"/>
        <v>40529.440300000002</v>
      </c>
      <c r="E13" s="50"/>
    </row>
    <row r="14" spans="1:18" ht="15" customHeight="1">
      <c r="A14" s="56" t="str">
        <f t="shared" ca="1" si="0"/>
        <v>882788514</v>
      </c>
      <c r="B14" s="68">
        <f t="shared" ca="1" si="1"/>
        <v>20</v>
      </c>
      <c r="C14" s="46">
        <f t="shared" ca="1" si="2"/>
        <v>20.8</v>
      </c>
      <c r="D14" s="65">
        <f t="shared" ca="1" si="3"/>
        <v>40363.153400000003</v>
      </c>
      <c r="E14" s="50"/>
    </row>
    <row r="15" spans="1:18" ht="15" customHeight="1">
      <c r="A15" s="56" t="str">
        <f t="shared" ca="1" si="0"/>
        <v>888522066</v>
      </c>
      <c r="B15" s="68">
        <f t="shared" ca="1" si="1"/>
        <v>5</v>
      </c>
      <c r="C15" s="46">
        <f t="shared" ca="1" si="2"/>
        <v>68</v>
      </c>
      <c r="D15" s="65">
        <f t="shared" ca="1" si="3"/>
        <v>40309.706400000003</v>
      </c>
      <c r="E15" s="50"/>
    </row>
    <row r="16" spans="1:18" ht="15" customHeight="1">
      <c r="A16" s="56" t="str">
        <f t="shared" ca="1" si="0"/>
        <v>882595413</v>
      </c>
      <c r="B16" s="68">
        <f t="shared" ca="1" si="1"/>
        <v>20</v>
      </c>
      <c r="C16" s="46">
        <f t="shared" ca="1" si="2"/>
        <v>58.5</v>
      </c>
      <c r="D16" s="65">
        <f t="shared" ca="1" si="3"/>
        <v>40246.127800000002</v>
      </c>
      <c r="E16" s="50"/>
      <c r="F16" s="42"/>
    </row>
    <row r="17" spans="1:6" ht="15" customHeight="1">
      <c r="A17" s="56" t="str">
        <f t="shared" ca="1" si="0"/>
        <v>888585768</v>
      </c>
      <c r="B17" s="68">
        <f t="shared" ca="1" si="1"/>
        <v>5</v>
      </c>
      <c r="C17" s="46">
        <f t="shared" ca="1" si="2"/>
        <v>41.3</v>
      </c>
      <c r="D17" s="65">
        <f t="shared" ca="1" si="3"/>
        <v>40401.152999999998</v>
      </c>
      <c r="E17" s="50"/>
      <c r="F17" s="42"/>
    </row>
    <row r="18" spans="1:6" ht="15" customHeight="1">
      <c r="A18" s="56" t="str">
        <f t="shared" ca="1" si="0"/>
        <v>886396418</v>
      </c>
      <c r="B18" s="68">
        <f t="shared" ca="1" si="1"/>
        <v>20</v>
      </c>
      <c r="C18" s="46">
        <f t="shared" ca="1" si="2"/>
        <v>42.9</v>
      </c>
      <c r="D18" s="65">
        <f t="shared" ca="1" si="3"/>
        <v>40482.4758</v>
      </c>
      <c r="E18" s="50"/>
      <c r="F18" s="42"/>
    </row>
    <row r="19" spans="1:6" ht="15" customHeight="1">
      <c r="A19" s="56" t="str">
        <f t="shared" ca="1" si="0"/>
        <v>886889757</v>
      </c>
      <c r="B19" s="68">
        <f t="shared" ca="1" si="1"/>
        <v>5</v>
      </c>
      <c r="C19" s="46">
        <f t="shared" ca="1" si="2"/>
        <v>100.2</v>
      </c>
      <c r="D19" s="65">
        <f t="shared" ca="1" si="3"/>
        <v>40300.154300000002</v>
      </c>
      <c r="E19" s="50"/>
      <c r="F19" s="42"/>
    </row>
    <row r="20" spans="1:6" ht="15" customHeight="1">
      <c r="A20" s="56" t="str">
        <f t="shared" ca="1" si="0"/>
        <v>886774945</v>
      </c>
      <c r="B20" s="68">
        <f t="shared" ca="1" si="1"/>
        <v>20</v>
      </c>
      <c r="C20" s="46">
        <f t="shared" ca="1" si="2"/>
        <v>54.9</v>
      </c>
      <c r="D20" s="65">
        <f t="shared" ca="1" si="3"/>
        <v>40188.4735</v>
      </c>
      <c r="E20" s="50"/>
      <c r="F20" s="42"/>
    </row>
    <row r="21" spans="1:6" ht="15" customHeight="1">
      <c r="A21" s="56" t="str">
        <f t="shared" ca="1" si="0"/>
        <v>884272496</v>
      </c>
      <c r="B21" s="68">
        <f t="shared" ca="1" si="1"/>
        <v>20</v>
      </c>
      <c r="C21" s="46">
        <f t="shared" ca="1" si="2"/>
        <v>86.2</v>
      </c>
      <c r="D21" s="65">
        <f t="shared" ca="1" si="3"/>
        <v>40218.601999999999</v>
      </c>
      <c r="E21" s="50"/>
      <c r="F21" s="42"/>
    </row>
    <row r="22" spans="1:6" ht="15" customHeight="1">
      <c r="A22" s="56" t="str">
        <f t="shared" ca="1" si="0"/>
        <v>886788762</v>
      </c>
      <c r="B22" s="68">
        <f t="shared" ca="1" si="1"/>
        <v>20</v>
      </c>
      <c r="C22" s="46">
        <f t="shared" ca="1" si="2"/>
        <v>68.599999999999994</v>
      </c>
      <c r="D22" s="65">
        <f t="shared" ca="1" si="3"/>
        <v>40407.568700000003</v>
      </c>
      <c r="E22" s="50"/>
    </row>
    <row r="23" spans="1:6" ht="15" customHeight="1">
      <c r="A23" s="56" t="str">
        <f t="shared" ca="1" si="0"/>
        <v>884511018</v>
      </c>
      <c r="B23" s="68">
        <f t="shared" ca="1" si="1"/>
        <v>5</v>
      </c>
      <c r="C23" s="46">
        <f t="shared" ca="1" si="2"/>
        <v>30.1</v>
      </c>
      <c r="D23" s="65">
        <f t="shared" ca="1" si="3"/>
        <v>40488.847000000002</v>
      </c>
      <c r="E23" s="50"/>
    </row>
    <row r="24" spans="1:6" ht="15" customHeight="1">
      <c r="A24" s="56" t="str">
        <f t="shared" ca="1" si="0"/>
        <v>888488683</v>
      </c>
      <c r="B24" s="68">
        <f t="shared" ca="1" si="1"/>
        <v>20</v>
      </c>
      <c r="C24" s="46">
        <f t="shared" ca="1" si="2"/>
        <v>64.400000000000006</v>
      </c>
      <c r="D24" s="65">
        <f t="shared" ca="1" si="3"/>
        <v>40504.790999999997</v>
      </c>
      <c r="E24" s="50"/>
    </row>
    <row r="25" spans="1:6" ht="15" customHeight="1">
      <c r="A25" s="56" t="str">
        <f t="shared" ca="1" si="0"/>
        <v>884213849</v>
      </c>
      <c r="B25" s="68">
        <f t="shared" ca="1" si="1"/>
        <v>5</v>
      </c>
      <c r="C25" s="46">
        <f t="shared" ca="1" si="2"/>
        <v>193</v>
      </c>
      <c r="D25" s="65">
        <f t="shared" ca="1" si="3"/>
        <v>40512.881000000001</v>
      </c>
      <c r="E25" s="50"/>
    </row>
    <row r="26" spans="1:6" ht="15" customHeight="1">
      <c r="A26" s="56" t="str">
        <f t="shared" ca="1" si="0"/>
        <v>882852996</v>
      </c>
      <c r="B26" s="68">
        <f t="shared" ca="1" si="1"/>
        <v>5</v>
      </c>
      <c r="C26" s="46">
        <f t="shared" ca="1" si="2"/>
        <v>182.1</v>
      </c>
      <c r="D26" s="65">
        <f t="shared" ca="1" si="3"/>
        <v>40329.918799999999</v>
      </c>
      <c r="E26" s="50"/>
    </row>
    <row r="27" spans="1:6" ht="15">
      <c r="A27" s="56" t="str">
        <f t="shared" ca="1" si="0"/>
        <v>888195770</v>
      </c>
      <c r="B27" s="68">
        <f t="shared" ca="1" si="1"/>
        <v>5</v>
      </c>
      <c r="C27" s="46">
        <f ca="1">ROUND(RAND()*200+10,1)</f>
        <v>67.099999999999994</v>
      </c>
      <c r="D27" s="65">
        <f t="shared" ca="1" si="3"/>
        <v>40436.7696</v>
      </c>
      <c r="E27" s="50"/>
    </row>
    <row r="28" spans="1:6" ht="15">
      <c r="A28" s="56" t="str">
        <f t="shared" ca="1" si="0"/>
        <v>888308789</v>
      </c>
      <c r="B28" s="68">
        <f t="shared" ca="1" si="1"/>
        <v>20</v>
      </c>
      <c r="C28" s="46">
        <f t="shared" ref="C28:C51" ca="1" si="4">ROUND(RAND()*200+10,1)</f>
        <v>56.5</v>
      </c>
      <c r="D28" s="65">
        <f t="shared" ca="1" si="3"/>
        <v>40367.903700000003</v>
      </c>
      <c r="E28" s="50"/>
    </row>
    <row r="29" spans="1:6" ht="15">
      <c r="A29" s="56" t="str">
        <f t="shared" ca="1" si="0"/>
        <v>882765280</v>
      </c>
      <c r="B29" s="68">
        <f t="shared" ca="1" si="1"/>
        <v>5</v>
      </c>
      <c r="C29" s="46">
        <f t="shared" ca="1" si="4"/>
        <v>137.5</v>
      </c>
      <c r="D29" s="65">
        <f t="shared" ca="1" si="3"/>
        <v>40452.584699999999</v>
      </c>
      <c r="E29" s="50"/>
    </row>
    <row r="30" spans="1:6" ht="15">
      <c r="A30" s="56" t="str">
        <f t="shared" ca="1" si="0"/>
        <v>880656758</v>
      </c>
      <c r="B30" s="68">
        <f t="shared" ca="1" si="1"/>
        <v>20</v>
      </c>
      <c r="C30" s="46">
        <f t="shared" ca="1" si="4"/>
        <v>67.099999999999994</v>
      </c>
      <c r="D30" s="65">
        <f t="shared" ca="1" si="3"/>
        <v>40428.987999999998</v>
      </c>
      <c r="E30" s="50"/>
    </row>
    <row r="31" spans="1:6" ht="15">
      <c r="A31" s="56" t="str">
        <f t="shared" ca="1" si="0"/>
        <v>886588623</v>
      </c>
      <c r="B31" s="68">
        <f t="shared" ca="1" si="1"/>
        <v>5</v>
      </c>
      <c r="C31" s="46">
        <f t="shared" ca="1" si="4"/>
        <v>26.1</v>
      </c>
      <c r="D31" s="65">
        <f t="shared" ca="1" si="3"/>
        <v>40473.331400000003</v>
      </c>
      <c r="E31" s="50"/>
    </row>
    <row r="32" spans="1:6" ht="15">
      <c r="A32" s="56" t="str">
        <f t="shared" ca="1" si="0"/>
        <v>884160977</v>
      </c>
      <c r="B32" s="68">
        <f t="shared" ca="1" si="1"/>
        <v>20</v>
      </c>
      <c r="C32" s="46">
        <f t="shared" ca="1" si="4"/>
        <v>93.1</v>
      </c>
      <c r="D32" s="65">
        <f t="shared" ca="1" si="3"/>
        <v>40518.231500000002</v>
      </c>
      <c r="E32" s="50"/>
    </row>
    <row r="33" spans="1:5" ht="15">
      <c r="A33" s="56" t="str">
        <f t="shared" ca="1" si="0"/>
        <v>886178084</v>
      </c>
      <c r="B33" s="68">
        <f t="shared" ca="1" si="1"/>
        <v>20</v>
      </c>
      <c r="C33" s="46">
        <f t="shared" ca="1" si="4"/>
        <v>126.3</v>
      </c>
      <c r="D33" s="65">
        <f t="shared" ca="1" si="3"/>
        <v>40180.036200000002</v>
      </c>
      <c r="E33" s="50"/>
    </row>
    <row r="34" spans="1:5" ht="15">
      <c r="A34" s="56" t="str">
        <f t="shared" ca="1" si="0"/>
        <v>886186124</v>
      </c>
      <c r="B34" s="68">
        <f t="shared" ca="1" si="1"/>
        <v>20</v>
      </c>
      <c r="C34" s="46">
        <f t="shared" ca="1" si="4"/>
        <v>18.3</v>
      </c>
      <c r="D34" s="65">
        <f t="shared" ca="1" si="3"/>
        <v>40347.076399999998</v>
      </c>
      <c r="E34" s="50"/>
    </row>
    <row r="35" spans="1:5" ht="15">
      <c r="A35" s="56" t="str">
        <f t="shared" ca="1" si="0"/>
        <v>884283330</v>
      </c>
      <c r="B35" s="68">
        <f t="shared" ca="1" si="1"/>
        <v>20</v>
      </c>
      <c r="C35" s="46">
        <f t="shared" ca="1" si="4"/>
        <v>150.5</v>
      </c>
      <c r="D35" s="65">
        <f t="shared" ca="1" si="3"/>
        <v>40374.151899999997</v>
      </c>
      <c r="E35" s="50"/>
    </row>
    <row r="36" spans="1:5" ht="15">
      <c r="A36" s="56" t="str">
        <f t="shared" ca="1" si="0"/>
        <v>882432697</v>
      </c>
      <c r="B36" s="68">
        <f t="shared" ca="1" si="1"/>
        <v>5</v>
      </c>
      <c r="C36" s="46">
        <f t="shared" ca="1" si="4"/>
        <v>100.4</v>
      </c>
      <c r="D36" s="65">
        <f t="shared" ca="1" si="3"/>
        <v>40434.947500000002</v>
      </c>
      <c r="E36" s="50"/>
    </row>
    <row r="37" spans="1:5" ht="15">
      <c r="A37" s="56" t="str">
        <f t="shared" ca="1" si="0"/>
        <v>882186122</v>
      </c>
      <c r="B37" s="68">
        <f t="shared" ca="1" si="1"/>
        <v>20</v>
      </c>
      <c r="C37" s="46">
        <f t="shared" ca="1" si="4"/>
        <v>165.8</v>
      </c>
      <c r="D37" s="65">
        <f t="shared" ca="1" si="3"/>
        <v>40336.724399999999</v>
      </c>
      <c r="E37" s="50"/>
    </row>
    <row r="38" spans="1:5" ht="15">
      <c r="A38" s="56" t="str">
        <f t="shared" ca="1" si="0"/>
        <v>882879620</v>
      </c>
      <c r="B38" s="68">
        <f t="shared" ca="1" si="1"/>
        <v>20</v>
      </c>
      <c r="C38" s="46">
        <f t="shared" ca="1" si="4"/>
        <v>63.8</v>
      </c>
      <c r="D38" s="65">
        <f t="shared" ca="1" si="3"/>
        <v>40469.085500000001</v>
      </c>
      <c r="E38" s="50"/>
    </row>
    <row r="39" spans="1:5" ht="15">
      <c r="A39" s="56" t="str">
        <f t="shared" ca="1" si="0"/>
        <v>884782207</v>
      </c>
      <c r="B39" s="68">
        <f t="shared" ca="1" si="1"/>
        <v>5</v>
      </c>
      <c r="C39" s="46">
        <f t="shared" ca="1" si="4"/>
        <v>140.69999999999999</v>
      </c>
      <c r="D39" s="65">
        <f t="shared" ca="1" si="3"/>
        <v>40476.087800000001</v>
      </c>
      <c r="E39" s="50"/>
    </row>
    <row r="40" spans="1:5" ht="15">
      <c r="A40" s="56" t="str">
        <f t="shared" ca="1" si="0"/>
        <v>886624765</v>
      </c>
      <c r="B40" s="68">
        <f t="shared" ca="1" si="1"/>
        <v>20</v>
      </c>
      <c r="C40" s="46">
        <f t="shared" ca="1" si="4"/>
        <v>206.1</v>
      </c>
      <c r="D40" s="65">
        <f t="shared" ca="1" si="3"/>
        <v>40348.002699999997</v>
      </c>
      <c r="E40" s="50"/>
    </row>
    <row r="41" spans="1:5" ht="15">
      <c r="A41" s="56" t="str">
        <f t="shared" ca="1" si="0"/>
        <v>888759933</v>
      </c>
      <c r="B41" s="68">
        <f t="shared" ca="1" si="1"/>
        <v>20</v>
      </c>
      <c r="C41" s="46">
        <f t="shared" ca="1" si="4"/>
        <v>48.2</v>
      </c>
      <c r="D41" s="65">
        <f t="shared" ca="1" si="3"/>
        <v>40233.390800000001</v>
      </c>
      <c r="E41" s="50"/>
    </row>
    <row r="42" spans="1:5" ht="15">
      <c r="A42" s="56" t="str">
        <f t="shared" ca="1" si="0"/>
        <v>886380377</v>
      </c>
      <c r="B42" s="68">
        <f t="shared" ca="1" si="1"/>
        <v>5</v>
      </c>
      <c r="C42" s="46">
        <f t="shared" ca="1" si="4"/>
        <v>147.30000000000001</v>
      </c>
      <c r="D42" s="65">
        <f t="shared" ca="1" si="3"/>
        <v>40349.328600000001</v>
      </c>
      <c r="E42" s="50"/>
    </row>
    <row r="43" spans="1:5" ht="15">
      <c r="A43" s="56" t="str">
        <f t="shared" ca="1" si="0"/>
        <v>886889801</v>
      </c>
      <c r="B43" s="68">
        <f t="shared" ca="1" si="1"/>
        <v>20</v>
      </c>
      <c r="C43" s="46">
        <f t="shared" ca="1" si="4"/>
        <v>207.6</v>
      </c>
      <c r="D43" s="65">
        <f t="shared" ca="1" si="3"/>
        <v>40540.968500000003</v>
      </c>
      <c r="E43" s="50"/>
    </row>
    <row r="44" spans="1:5" ht="15">
      <c r="A44" s="56" t="str">
        <f t="shared" ca="1" si="0"/>
        <v>884594072</v>
      </c>
      <c r="B44" s="68">
        <f t="shared" ca="1" si="1"/>
        <v>20</v>
      </c>
      <c r="C44" s="46">
        <f t="shared" ca="1" si="4"/>
        <v>104.1</v>
      </c>
      <c r="D44" s="65">
        <f t="shared" ca="1" si="3"/>
        <v>40430.522199999999</v>
      </c>
      <c r="E44" s="50"/>
    </row>
    <row r="45" spans="1:5" ht="15">
      <c r="A45" s="56" t="str">
        <f t="shared" ca="1" si="0"/>
        <v>884876945</v>
      </c>
      <c r="B45" s="68">
        <f t="shared" ca="1" si="1"/>
        <v>20</v>
      </c>
      <c r="C45" s="46">
        <f t="shared" ca="1" si="4"/>
        <v>175</v>
      </c>
      <c r="D45" s="65">
        <f t="shared" ca="1" si="3"/>
        <v>40498.1872</v>
      </c>
      <c r="E45" s="50"/>
    </row>
    <row r="46" spans="1:5" ht="15">
      <c r="A46" s="56" t="str">
        <f t="shared" ca="1" si="0"/>
        <v>880374579</v>
      </c>
      <c r="B46" s="68">
        <f t="shared" ca="1" si="1"/>
        <v>20</v>
      </c>
      <c r="C46" s="46">
        <f t="shared" ca="1" si="4"/>
        <v>104.8</v>
      </c>
      <c r="D46" s="65">
        <f t="shared" ca="1" si="3"/>
        <v>40304.098700000002</v>
      </c>
      <c r="E46" s="50"/>
    </row>
    <row r="47" spans="1:5" ht="15">
      <c r="A47" s="56" t="str">
        <f t="shared" ca="1" si="0"/>
        <v>884864395</v>
      </c>
      <c r="B47" s="68">
        <f t="shared" ca="1" si="1"/>
        <v>20</v>
      </c>
      <c r="C47" s="46">
        <f t="shared" ca="1" si="4"/>
        <v>86</v>
      </c>
      <c r="D47" s="65">
        <f t="shared" ca="1" si="3"/>
        <v>40538.354599999999</v>
      </c>
      <c r="E47" s="50"/>
    </row>
    <row r="48" spans="1:5" ht="15">
      <c r="A48" s="56" t="str">
        <f t="shared" ca="1" si="0"/>
        <v>884383945</v>
      </c>
      <c r="B48" s="68">
        <f t="shared" ca="1" si="1"/>
        <v>20</v>
      </c>
      <c r="C48" s="46">
        <f t="shared" ca="1" si="4"/>
        <v>192.8</v>
      </c>
      <c r="D48" s="65">
        <f t="shared" ca="1" si="3"/>
        <v>40284.4303</v>
      </c>
      <c r="E48" s="50"/>
    </row>
    <row r="49" spans="1:5" ht="15">
      <c r="A49" s="56" t="str">
        <f t="shared" ca="1" si="0"/>
        <v>884405840</v>
      </c>
      <c r="B49" s="68">
        <f t="shared" ca="1" si="1"/>
        <v>20</v>
      </c>
      <c r="C49" s="46">
        <f t="shared" ca="1" si="4"/>
        <v>18.3</v>
      </c>
      <c r="D49" s="65">
        <f t="shared" ca="1" si="3"/>
        <v>40537.952700000002</v>
      </c>
      <c r="E49" s="50"/>
    </row>
    <row r="50" spans="1:5" ht="15">
      <c r="A50" s="56" t="str">
        <f t="shared" ca="1" si="0"/>
        <v>880745676</v>
      </c>
      <c r="B50" s="68">
        <f t="shared" ca="1" si="1"/>
        <v>20</v>
      </c>
      <c r="C50" s="46">
        <f t="shared" ca="1" si="4"/>
        <v>136.9</v>
      </c>
      <c r="D50" s="65">
        <f t="shared" ca="1" si="3"/>
        <v>40306.723599999998</v>
      </c>
      <c r="E50" s="50"/>
    </row>
    <row r="51" spans="1:5" ht="15.75" thickBot="1">
      <c r="A51" s="56" t="str">
        <f t="shared" ca="1" si="0"/>
        <v>886448201</v>
      </c>
      <c r="B51" s="68">
        <f t="shared" ca="1" si="1"/>
        <v>20</v>
      </c>
      <c r="C51" s="52">
        <f t="shared" ca="1" si="4"/>
        <v>94.8</v>
      </c>
      <c r="D51" s="66">
        <f t="shared" ca="1" si="3"/>
        <v>40247.4758</v>
      </c>
      <c r="E51" s="55"/>
    </row>
  </sheetData>
  <customSheetViews>
    <customSheetView guid="{3DF5E802-5CA5-43EF-BE6A-D6FCDA5F65F2}">
      <selection activeCell="D14" sqref="D14"/>
      <pageMargins left="0.7" right="0.7" top="0.75" bottom="0.75" header="0.3" footer="0.3"/>
      <pageSetup paperSize="9" orientation="portrait" r:id="rId1"/>
    </customSheetView>
    <customSheetView guid="{F9B480CE-077C-416E-ACF9-56227F746F4A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7" t="s">
        <v>12</v>
      </c>
      <c r="I5" s="137"/>
    </row>
    <row r="6" spans="8:9" ht="18">
      <c r="H6" s="12">
        <f ca="1">ROUND(RAND()*1000+500,0)</f>
        <v>1195</v>
      </c>
      <c r="I6" s="11" t="s">
        <v>13</v>
      </c>
    </row>
    <row r="17" spans="5:9">
      <c r="I17" s="95"/>
    </row>
    <row r="18" spans="5:9" ht="13.5" thickBot="1"/>
    <row r="19" spans="5:9" ht="13.5" thickBot="1">
      <c r="E19" s="107" t="s">
        <v>14</v>
      </c>
      <c r="F19" s="132" t="s">
        <v>277</v>
      </c>
      <c r="G19" s="108" t="s">
        <v>15</v>
      </c>
      <c r="H19" s="109" t="s">
        <v>217</v>
      </c>
    </row>
    <row r="20" spans="5:9">
      <c r="E20" s="104">
        <v>1023652135</v>
      </c>
      <c r="F20" s="105">
        <f ca="1">ROUND(RAND()*16+3,0)</f>
        <v>3</v>
      </c>
      <c r="G20" s="106"/>
      <c r="H20" s="110"/>
    </row>
    <row r="21" spans="5:9">
      <c r="E21" s="99">
        <f>E20+13</f>
        <v>1023652148</v>
      </c>
      <c r="F21" s="10">
        <f t="shared" ref="F21:F43" ca="1" si="0">ROUND(RAND()*16+3,0)</f>
        <v>15</v>
      </c>
      <c r="G21" s="102"/>
      <c r="H21" s="111"/>
    </row>
    <row r="22" spans="5:9">
      <c r="E22" s="99">
        <v>1023652136</v>
      </c>
      <c r="F22" s="10">
        <f t="shared" ca="1" si="0"/>
        <v>4</v>
      </c>
      <c r="G22" s="102"/>
      <c r="H22" s="111"/>
    </row>
    <row r="23" spans="5:9">
      <c r="E23" s="99">
        <f>E22+13</f>
        <v>1023652149</v>
      </c>
      <c r="F23" s="10">
        <f t="shared" ca="1" si="0"/>
        <v>10</v>
      </c>
      <c r="G23" s="102"/>
      <c r="H23" s="111"/>
    </row>
    <row r="24" spans="5:9">
      <c r="E24" s="99">
        <v>1023652137</v>
      </c>
      <c r="F24" s="10">
        <f t="shared" ca="1" si="0"/>
        <v>12</v>
      </c>
      <c r="G24" s="102"/>
      <c r="H24" s="111"/>
    </row>
    <row r="25" spans="5:9">
      <c r="E25" s="99">
        <f>E24+13</f>
        <v>1023652150</v>
      </c>
      <c r="F25" s="10">
        <f t="shared" ca="1" si="0"/>
        <v>4</v>
      </c>
      <c r="G25" s="102"/>
      <c r="H25" s="111"/>
    </row>
    <row r="26" spans="5:9">
      <c r="E26" s="99">
        <v>1023652138</v>
      </c>
      <c r="F26" s="10">
        <f t="shared" ca="1" si="0"/>
        <v>15</v>
      </c>
      <c r="G26" s="102"/>
      <c r="H26" s="111"/>
    </row>
    <row r="27" spans="5:9">
      <c r="E27" s="99">
        <f>E26+13</f>
        <v>1023652151</v>
      </c>
      <c r="F27" s="10">
        <f t="shared" ca="1" si="0"/>
        <v>18</v>
      </c>
      <c r="G27" s="102"/>
      <c r="H27" s="111"/>
    </row>
    <row r="28" spans="5:9">
      <c r="E28" s="99">
        <v>1023652139</v>
      </c>
      <c r="F28" s="10">
        <f t="shared" ca="1" si="0"/>
        <v>6</v>
      </c>
      <c r="G28" s="102"/>
      <c r="H28" s="111"/>
    </row>
    <row r="29" spans="5:9">
      <c r="E29" s="99">
        <f>E28+13</f>
        <v>1023652152</v>
      </c>
      <c r="F29" s="10">
        <f t="shared" ca="1" si="0"/>
        <v>14</v>
      </c>
      <c r="G29" s="102"/>
      <c r="H29" s="111"/>
    </row>
    <row r="30" spans="5:9">
      <c r="E30" s="99">
        <v>1023652140</v>
      </c>
      <c r="F30" s="10">
        <f t="shared" ca="1" si="0"/>
        <v>18</v>
      </c>
      <c r="G30" s="102"/>
      <c r="H30" s="111"/>
    </row>
    <row r="31" spans="5:9">
      <c r="E31" s="99">
        <f>E30+13</f>
        <v>1023652153</v>
      </c>
      <c r="F31" s="10">
        <f t="shared" ca="1" si="0"/>
        <v>4</v>
      </c>
      <c r="G31" s="102"/>
      <c r="H31" s="111"/>
    </row>
    <row r="32" spans="5:9">
      <c r="E32" s="99">
        <v>1023652141</v>
      </c>
      <c r="F32" s="10">
        <f t="shared" ca="1" si="0"/>
        <v>9</v>
      </c>
      <c r="G32" s="102"/>
      <c r="H32" s="111"/>
    </row>
    <row r="33" spans="5:8">
      <c r="E33" s="99">
        <f>E32+13</f>
        <v>1023652154</v>
      </c>
      <c r="F33" s="10">
        <f t="shared" ca="1" si="0"/>
        <v>6</v>
      </c>
      <c r="G33" s="102"/>
      <c r="H33" s="111"/>
    </row>
    <row r="34" spans="5:8">
      <c r="E34" s="99">
        <v>1023652142</v>
      </c>
      <c r="F34" s="10">
        <f t="shared" ca="1" si="0"/>
        <v>10</v>
      </c>
      <c r="G34" s="102"/>
      <c r="H34" s="111"/>
    </row>
    <row r="35" spans="5:8">
      <c r="E35" s="99">
        <f>E34+13</f>
        <v>1023652155</v>
      </c>
      <c r="F35" s="10">
        <f t="shared" ca="1" si="0"/>
        <v>8</v>
      </c>
      <c r="G35" s="102"/>
      <c r="H35" s="111"/>
    </row>
    <row r="36" spans="5:8">
      <c r="E36" s="99">
        <v>1023652143</v>
      </c>
      <c r="F36" s="10">
        <f t="shared" ca="1" si="0"/>
        <v>12</v>
      </c>
      <c r="G36" s="102"/>
      <c r="H36" s="111"/>
    </row>
    <row r="37" spans="5:8">
      <c r="E37" s="99">
        <f>E36+13</f>
        <v>1023652156</v>
      </c>
      <c r="F37" s="10">
        <f t="shared" ca="1" si="0"/>
        <v>4</v>
      </c>
      <c r="G37" s="102"/>
      <c r="H37" s="111"/>
    </row>
    <row r="38" spans="5:8">
      <c r="E38" s="99">
        <v>1023652144</v>
      </c>
      <c r="F38" s="10">
        <f t="shared" ca="1" si="0"/>
        <v>17</v>
      </c>
      <c r="G38" s="102"/>
      <c r="H38" s="111"/>
    </row>
    <row r="39" spans="5:8">
      <c r="E39" s="99">
        <f>E38+13</f>
        <v>1023652157</v>
      </c>
      <c r="F39" s="10">
        <f t="shared" ca="1" si="0"/>
        <v>6</v>
      </c>
      <c r="G39" s="102"/>
      <c r="H39" s="111"/>
    </row>
    <row r="40" spans="5:8">
      <c r="E40" s="99">
        <v>1023652145</v>
      </c>
      <c r="F40" s="10">
        <f t="shared" ca="1" si="0"/>
        <v>12</v>
      </c>
      <c r="G40" s="102"/>
      <c r="H40" s="111"/>
    </row>
    <row r="41" spans="5:8">
      <c r="E41" s="99">
        <f>E40+13</f>
        <v>1023652158</v>
      </c>
      <c r="F41" s="10">
        <f t="shared" ca="1" si="0"/>
        <v>12</v>
      </c>
      <c r="G41" s="102"/>
      <c r="H41" s="111"/>
    </row>
    <row r="42" spans="5:8">
      <c r="E42" s="99">
        <v>1023652146</v>
      </c>
      <c r="F42" s="10">
        <f t="shared" ca="1" si="0"/>
        <v>7</v>
      </c>
      <c r="G42" s="102"/>
      <c r="H42" s="111"/>
    </row>
    <row r="43" spans="5:8" ht="13.5" thickBot="1">
      <c r="E43" s="100">
        <f>E42+13</f>
        <v>1023652159</v>
      </c>
      <c r="F43" s="101">
        <f t="shared" ca="1" si="0"/>
        <v>11</v>
      </c>
      <c r="G43" s="103"/>
      <c r="H43" s="112"/>
    </row>
  </sheetData>
  <customSheetViews>
    <customSheetView guid="{3DF5E802-5CA5-43EF-BE6A-D6FCDA5F65F2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9</v>
      </c>
      <c r="B2" s="37" t="str">
        <f ca="1">VLOOKUP(A2,$L$2:$M$41,2)</f>
        <v>Radom</v>
      </c>
      <c r="C2" s="33"/>
      <c r="L2" s="25">
        <v>1</v>
      </c>
      <c r="M2" s="37" t="s">
        <v>71</v>
      </c>
    </row>
    <row r="3" spans="1:13">
      <c r="A3" s="25">
        <f ca="1">A2+1</f>
        <v>10</v>
      </c>
      <c r="B3" s="37" t="str">
        <f ca="1">VLOOKUP(A3,$L$2:$M$41,2)</f>
        <v>Kielce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11</v>
      </c>
      <c r="B4" s="37" t="str">
        <f t="shared" ref="B4:B21" ca="1" si="1">VLOOKUP(A4,$L$2:$M$41,2)</f>
        <v>Gdynia</v>
      </c>
      <c r="C4" s="34"/>
      <c r="L4" s="25">
        <v>3</v>
      </c>
      <c r="M4" s="37" t="s">
        <v>73</v>
      </c>
    </row>
    <row r="5" spans="1:13">
      <c r="A5" s="25">
        <f t="shared" ca="1" si="0"/>
        <v>12</v>
      </c>
      <c r="B5" s="37" t="str">
        <f t="shared" ca="1" si="1"/>
        <v>Wrocław</v>
      </c>
      <c r="C5" s="34"/>
      <c r="L5" s="25">
        <v>4</v>
      </c>
      <c r="M5" s="37" t="s">
        <v>74</v>
      </c>
    </row>
    <row r="6" spans="1:13">
      <c r="A6" s="25">
        <f t="shared" ca="1" si="0"/>
        <v>13</v>
      </c>
      <c r="B6" s="37" t="str">
        <f t="shared" ca="1" si="1"/>
        <v>Zielona Góra</v>
      </c>
      <c r="C6" s="34"/>
      <c r="L6" s="25">
        <v>5</v>
      </c>
      <c r="M6" s="37" t="s">
        <v>75</v>
      </c>
    </row>
    <row r="7" spans="1:13">
      <c r="A7" s="25">
        <f t="shared" ca="1" si="0"/>
        <v>14</v>
      </c>
      <c r="B7" s="37" t="str">
        <f t="shared" ca="1" si="1"/>
        <v>Olsztyn</v>
      </c>
      <c r="C7" s="34"/>
      <c r="L7" s="25">
        <v>6</v>
      </c>
      <c r="M7" s="37" t="s">
        <v>76</v>
      </c>
    </row>
    <row r="8" spans="1:13">
      <c r="A8" s="25">
        <f t="shared" ca="1" si="0"/>
        <v>15</v>
      </c>
      <c r="B8" s="37" t="str">
        <f t="shared" ca="1" si="1"/>
        <v>Tomaszów Mazowiecki</v>
      </c>
      <c r="C8" s="34"/>
      <c r="L8" s="25">
        <v>7</v>
      </c>
      <c r="M8" s="37" t="s">
        <v>114</v>
      </c>
    </row>
    <row r="9" spans="1:13">
      <c r="A9" s="25">
        <f t="shared" ca="1" si="0"/>
        <v>16</v>
      </c>
      <c r="B9" s="37" t="str">
        <f t="shared" ca="1" si="1"/>
        <v>Częstochowa</v>
      </c>
      <c r="C9" s="34"/>
      <c r="L9" s="25">
        <v>8</v>
      </c>
      <c r="M9" s="37" t="s">
        <v>115</v>
      </c>
    </row>
    <row r="10" spans="1:13">
      <c r="A10" s="25">
        <f t="shared" ca="1" si="0"/>
        <v>17</v>
      </c>
      <c r="B10" s="37" t="str">
        <f t="shared" ca="1" si="1"/>
        <v>Zamość</v>
      </c>
      <c r="C10" s="34"/>
      <c r="L10" s="25">
        <v>9</v>
      </c>
      <c r="M10" s="37" t="s">
        <v>116</v>
      </c>
    </row>
    <row r="11" spans="1:13">
      <c r="A11" s="25">
        <f t="shared" ca="1" si="0"/>
        <v>18</v>
      </c>
      <c r="B11" s="37" t="str">
        <f t="shared" ca="1" si="1"/>
        <v>Białystok</v>
      </c>
      <c r="C11" s="34"/>
      <c r="L11" s="25">
        <v>10</v>
      </c>
      <c r="M11" s="37" t="s">
        <v>117</v>
      </c>
    </row>
    <row r="12" spans="1:13">
      <c r="A12" s="25">
        <f t="shared" ca="1" si="0"/>
        <v>19</v>
      </c>
      <c r="B12" s="37" t="str">
        <f t="shared" ca="1" si="1"/>
        <v>Sopot</v>
      </c>
      <c r="C12" s="34"/>
      <c r="L12" s="25">
        <v>11</v>
      </c>
      <c r="M12" s="37" t="s">
        <v>118</v>
      </c>
    </row>
    <row r="13" spans="1:13">
      <c r="A13" s="25">
        <f t="shared" ca="1" si="0"/>
        <v>20</v>
      </c>
      <c r="B13" s="37" t="str">
        <f t="shared" ca="1" si="1"/>
        <v>Zakopane</v>
      </c>
      <c r="C13" s="34"/>
      <c r="L13" s="25">
        <v>12</v>
      </c>
      <c r="M13" s="37" t="s">
        <v>119</v>
      </c>
    </row>
    <row r="14" spans="1:13">
      <c r="A14" s="25">
        <f t="shared" ca="1" si="0"/>
        <v>21</v>
      </c>
      <c r="B14" s="37" t="str">
        <f t="shared" ca="1" si="1"/>
        <v>Łódź</v>
      </c>
      <c r="C14" s="34"/>
      <c r="L14" s="25">
        <v>13</v>
      </c>
      <c r="M14" s="37" t="s">
        <v>120</v>
      </c>
    </row>
    <row r="15" spans="1:13">
      <c r="A15" s="25">
        <f t="shared" ca="1" si="0"/>
        <v>22</v>
      </c>
      <c r="B15" s="37" t="str">
        <f t="shared" ca="1" si="1"/>
        <v>Warszawa</v>
      </c>
      <c r="C15" s="34"/>
      <c r="L15" s="25">
        <v>14</v>
      </c>
      <c r="M15" s="37" t="s">
        <v>121</v>
      </c>
    </row>
    <row r="16" spans="1:13">
      <c r="A16" s="25">
        <f t="shared" ca="1" si="0"/>
        <v>23</v>
      </c>
      <c r="B16" s="37" t="str">
        <f t="shared" ca="1" si="1"/>
        <v>Poznań</v>
      </c>
      <c r="C16" s="34"/>
      <c r="L16" s="25">
        <v>15</v>
      </c>
      <c r="M16" s="37" t="s">
        <v>122</v>
      </c>
    </row>
    <row r="17" spans="1:13">
      <c r="A17" s="25">
        <f t="shared" ca="1" si="0"/>
        <v>24</v>
      </c>
      <c r="B17" s="37" t="str">
        <f t="shared" ca="1" si="1"/>
        <v>Kraków</v>
      </c>
      <c r="C17" s="34"/>
      <c r="L17" s="25">
        <v>16</v>
      </c>
      <c r="M17" s="37" t="s">
        <v>123</v>
      </c>
    </row>
    <row r="18" spans="1:13">
      <c r="A18" s="25">
        <f t="shared" ca="1" si="0"/>
        <v>25</v>
      </c>
      <c r="B18" s="37" t="str">
        <f t="shared" ca="1" si="1"/>
        <v>Szczecin</v>
      </c>
      <c r="C18" s="34"/>
      <c r="L18" s="25">
        <v>17</v>
      </c>
      <c r="M18" s="37" t="s">
        <v>124</v>
      </c>
    </row>
    <row r="19" spans="1:13">
      <c r="A19" s="25">
        <f t="shared" ca="1" si="0"/>
        <v>26</v>
      </c>
      <c r="B19" s="37" t="str">
        <f t="shared" ca="1" si="1"/>
        <v>Gdańsk</v>
      </c>
      <c r="C19" s="34"/>
      <c r="L19" s="25">
        <v>18</v>
      </c>
      <c r="M19" s="37" t="s">
        <v>125</v>
      </c>
    </row>
    <row r="20" spans="1:13">
      <c r="A20" s="25">
        <f t="shared" ca="1" si="0"/>
        <v>27</v>
      </c>
      <c r="B20" s="37" t="str">
        <f t="shared" ca="1" si="1"/>
        <v>Jaworzno</v>
      </c>
      <c r="C20" s="34"/>
      <c r="L20" s="25">
        <v>19</v>
      </c>
      <c r="M20" s="37" t="s">
        <v>126</v>
      </c>
    </row>
    <row r="21" spans="1:13">
      <c r="A21" s="25">
        <f t="shared" ca="1" si="0"/>
        <v>28</v>
      </c>
      <c r="B21" s="37" t="str">
        <f t="shared" ca="1" si="1"/>
        <v>Katowice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278</v>
      </c>
      <c r="C1" s="32" t="s">
        <v>70</v>
      </c>
    </row>
    <row r="2" spans="1:13">
      <c r="A2" s="25">
        <f ca="1">ROUND(RAND()*19+1,0)</f>
        <v>11</v>
      </c>
      <c r="B2" s="37" t="str">
        <f ca="1">VLOOKUP(A2,$L$2:$M$41,2)</f>
        <v>czwartek</v>
      </c>
      <c r="C2" s="33"/>
      <c r="L2" s="25">
        <v>1</v>
      </c>
      <c r="M2" s="37" t="s">
        <v>128</v>
      </c>
    </row>
    <row r="3" spans="1:13">
      <c r="A3" s="25">
        <f ca="1">A2+1</f>
        <v>12</v>
      </c>
      <c r="B3" s="37" t="str">
        <f ca="1">VLOOKUP(A3,$L$2:$M$41,2)</f>
        <v>piątek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13</v>
      </c>
      <c r="B4" s="37" t="str">
        <f t="shared" ref="B4:B21" ca="1" si="1">VLOOKUP(A4,$L$2:$M$41,2)</f>
        <v>SOBOTA</v>
      </c>
      <c r="C4" s="34"/>
      <c r="L4" s="25">
        <v>3</v>
      </c>
      <c r="M4" s="37" t="s">
        <v>79</v>
      </c>
    </row>
    <row r="5" spans="1:13">
      <c r="A5" s="25">
        <f t="shared" ca="1" si="0"/>
        <v>14</v>
      </c>
      <c r="B5" s="37" t="str">
        <f t="shared" ca="1" si="1"/>
        <v>niedziela</v>
      </c>
      <c r="C5" s="34"/>
      <c r="L5" s="25">
        <v>4</v>
      </c>
      <c r="M5" s="37" t="s">
        <v>130</v>
      </c>
    </row>
    <row r="6" spans="1:13">
      <c r="A6" s="25">
        <f t="shared" ca="1" si="0"/>
        <v>15</v>
      </c>
      <c r="B6" s="37" t="str">
        <f t="shared" ca="1" si="1"/>
        <v>poniedziałek</v>
      </c>
      <c r="C6" s="34"/>
      <c r="L6" s="25">
        <v>5</v>
      </c>
      <c r="M6" s="37" t="s">
        <v>81</v>
      </c>
    </row>
    <row r="7" spans="1:13">
      <c r="A7" s="25">
        <f t="shared" ca="1" si="0"/>
        <v>16</v>
      </c>
      <c r="B7" s="37" t="str">
        <f t="shared" ca="1" si="1"/>
        <v>wtorek</v>
      </c>
      <c r="C7" s="34"/>
      <c r="L7" s="25">
        <v>6</v>
      </c>
      <c r="M7" s="37" t="s">
        <v>82</v>
      </c>
    </row>
    <row r="8" spans="1:13">
      <c r="A8" s="25">
        <f t="shared" ca="1" si="0"/>
        <v>17</v>
      </c>
      <c r="B8" s="37" t="str">
        <f t="shared" ca="1" si="1"/>
        <v>środa</v>
      </c>
      <c r="C8" s="34"/>
      <c r="L8" s="25">
        <v>7</v>
      </c>
      <c r="M8" s="37" t="s">
        <v>83</v>
      </c>
    </row>
    <row r="9" spans="1:13">
      <c r="A9" s="25">
        <f t="shared" ca="1" si="0"/>
        <v>18</v>
      </c>
      <c r="B9" s="37" t="str">
        <f t="shared" ca="1" si="1"/>
        <v>cZwartek</v>
      </c>
      <c r="C9" s="34"/>
      <c r="L9" s="25">
        <v>8</v>
      </c>
      <c r="M9" s="37" t="s">
        <v>77</v>
      </c>
    </row>
    <row r="10" spans="1:13">
      <c r="A10" s="25">
        <f t="shared" ca="1" si="0"/>
        <v>19</v>
      </c>
      <c r="B10" s="37" t="str">
        <f t="shared" ca="1" si="1"/>
        <v>piątek</v>
      </c>
      <c r="C10" s="34"/>
      <c r="L10" s="25">
        <v>9</v>
      </c>
      <c r="M10" s="37" t="s">
        <v>78</v>
      </c>
    </row>
    <row r="11" spans="1:13">
      <c r="A11" s="25">
        <f t="shared" ca="1" si="0"/>
        <v>20</v>
      </c>
      <c r="B11" s="37" t="str">
        <f t="shared" ca="1" si="1"/>
        <v>sobota</v>
      </c>
      <c r="C11" s="34"/>
      <c r="L11" s="25">
        <v>10</v>
      </c>
      <c r="M11" s="37" t="s">
        <v>79</v>
      </c>
    </row>
    <row r="12" spans="1:13">
      <c r="A12" s="25">
        <f t="shared" ca="1" si="0"/>
        <v>21</v>
      </c>
      <c r="B12" s="37" t="str">
        <f t="shared" ca="1" si="1"/>
        <v>niedziela</v>
      </c>
      <c r="C12" s="34"/>
      <c r="L12" s="25">
        <v>11</v>
      </c>
      <c r="M12" s="37" t="s">
        <v>80</v>
      </c>
    </row>
    <row r="13" spans="1:13">
      <c r="A13" s="25">
        <f t="shared" ca="1" si="0"/>
        <v>22</v>
      </c>
      <c r="B13" s="37" t="str">
        <f t="shared" ca="1" si="1"/>
        <v>pONiedziałek</v>
      </c>
      <c r="C13" s="34"/>
      <c r="L13" s="25">
        <v>12</v>
      </c>
      <c r="M13" s="37" t="s">
        <v>81</v>
      </c>
    </row>
    <row r="14" spans="1:13">
      <c r="A14" s="25">
        <f t="shared" ca="1" si="0"/>
        <v>23</v>
      </c>
      <c r="B14" s="37" t="str">
        <f t="shared" ca="1" si="1"/>
        <v>wtorek</v>
      </c>
      <c r="C14" s="34"/>
      <c r="L14" s="25">
        <v>13</v>
      </c>
      <c r="M14" s="37" t="s">
        <v>137</v>
      </c>
    </row>
    <row r="15" spans="1:13">
      <c r="A15" s="25">
        <f t="shared" ca="1" si="0"/>
        <v>24</v>
      </c>
      <c r="B15" s="37" t="str">
        <f t="shared" ca="1" si="1"/>
        <v>środa</v>
      </c>
      <c r="C15" s="34"/>
      <c r="L15" s="25">
        <v>14</v>
      </c>
      <c r="M15" s="37" t="s">
        <v>83</v>
      </c>
    </row>
    <row r="16" spans="1:13">
      <c r="A16" s="25">
        <f t="shared" ca="1" si="0"/>
        <v>25</v>
      </c>
      <c r="B16" s="37" t="str">
        <f t="shared" ca="1" si="1"/>
        <v>czwartek</v>
      </c>
      <c r="C16" s="34"/>
      <c r="L16" s="25">
        <v>15</v>
      </c>
      <c r="M16" s="37" t="s">
        <v>77</v>
      </c>
    </row>
    <row r="17" spans="1:13">
      <c r="A17" s="25">
        <f t="shared" ca="1" si="0"/>
        <v>26</v>
      </c>
      <c r="B17" s="37" t="str">
        <f t="shared" ca="1" si="1"/>
        <v>pIĄtek</v>
      </c>
      <c r="C17" s="34"/>
      <c r="L17" s="25">
        <v>16</v>
      </c>
      <c r="M17" s="37" t="s">
        <v>78</v>
      </c>
    </row>
    <row r="18" spans="1:13">
      <c r="A18" s="25">
        <f t="shared" ca="1" si="0"/>
        <v>27</v>
      </c>
      <c r="B18" s="37" t="str">
        <f t="shared" ca="1" si="1"/>
        <v>sobota</v>
      </c>
      <c r="C18" s="34"/>
      <c r="L18" s="25">
        <v>17</v>
      </c>
      <c r="M18" s="37" t="s">
        <v>79</v>
      </c>
    </row>
    <row r="19" spans="1:13">
      <c r="A19" s="25">
        <f t="shared" ca="1" si="0"/>
        <v>28</v>
      </c>
      <c r="B19" s="37" t="str">
        <f t="shared" ca="1" si="1"/>
        <v>niedziela</v>
      </c>
      <c r="C19" s="34"/>
      <c r="L19" s="25">
        <v>18</v>
      </c>
      <c r="M19" s="37" t="s">
        <v>131</v>
      </c>
    </row>
    <row r="20" spans="1:13">
      <c r="A20" s="25">
        <f t="shared" ca="1" si="0"/>
        <v>29</v>
      </c>
      <c r="B20" s="37" t="str">
        <f t="shared" ca="1" si="1"/>
        <v>Poniedziałek</v>
      </c>
      <c r="C20" s="34"/>
      <c r="L20" s="25">
        <v>19</v>
      </c>
      <c r="M20" s="37" t="s">
        <v>81</v>
      </c>
    </row>
    <row r="21" spans="1:13">
      <c r="A21" s="25">
        <f t="shared" ca="1" si="0"/>
        <v>30</v>
      </c>
      <c r="B21" s="37" t="str">
        <f t="shared" ca="1" si="1"/>
        <v>wTorek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6" t="s">
        <v>139</v>
      </c>
    </row>
    <row r="2" spans="1:14">
      <c r="A2" s="25">
        <f ca="1">ROUND(RAND()*19+1,0)</f>
        <v>16</v>
      </c>
      <c r="B2" s="29">
        <f ca="1">ROUND(RAND()*20+1989,0)</f>
        <v>1997</v>
      </c>
      <c r="C2" s="37" t="str">
        <f ca="1">VLOOKUP(A2,$M$2:$N$41,2)</f>
        <v>Justyna</v>
      </c>
      <c r="D2" s="33"/>
      <c r="M2" s="25">
        <v>1</v>
      </c>
      <c r="N2" s="1" t="s">
        <v>1</v>
      </c>
    </row>
    <row r="3" spans="1:14">
      <c r="A3" s="25">
        <f ca="1">A2+1</f>
        <v>17</v>
      </c>
      <c r="B3" s="29">
        <f t="shared" ref="B3:B21" ca="1" si="0">ROUND(RAND()*20+1989,0)</f>
        <v>1989</v>
      </c>
      <c r="C3" s="37" t="str">
        <f ca="1">VLOOKUP(A3,$M$2:$N$41,2)</f>
        <v>Monika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18</v>
      </c>
      <c r="B4" s="29">
        <f t="shared" ca="1" si="0"/>
        <v>1992</v>
      </c>
      <c r="C4" s="37" t="str">
        <f t="shared" ref="C4:C21" ca="1" si="2">VLOOKUP(A4,$M$2:$N$41,2)</f>
        <v>Maria</v>
      </c>
      <c r="D4" s="34"/>
      <c r="M4" s="25">
        <v>3</v>
      </c>
      <c r="N4" s="75" t="s">
        <v>3</v>
      </c>
    </row>
    <row r="5" spans="1:14">
      <c r="A5" s="25">
        <f t="shared" ca="1" si="1"/>
        <v>19</v>
      </c>
      <c r="B5" s="29">
        <f t="shared" ca="1" si="0"/>
        <v>1990</v>
      </c>
      <c r="C5" s="37" t="str">
        <f t="shared" ca="1" si="2"/>
        <v>Anna</v>
      </c>
      <c r="D5" s="34"/>
      <c r="M5" s="25">
        <v>4</v>
      </c>
      <c r="N5" s="1" t="s">
        <v>4</v>
      </c>
    </row>
    <row r="6" spans="1:14">
      <c r="A6" s="25">
        <f t="shared" ca="1" si="1"/>
        <v>20</v>
      </c>
      <c r="B6" s="29">
        <f t="shared" ca="1" si="0"/>
        <v>1993</v>
      </c>
      <c r="C6" s="37" t="str">
        <f t="shared" ca="1" si="2"/>
        <v>Monika</v>
      </c>
      <c r="D6" s="34"/>
      <c r="M6" s="25">
        <v>5</v>
      </c>
      <c r="N6" s="1" t="s">
        <v>5</v>
      </c>
    </row>
    <row r="7" spans="1:14">
      <c r="A7" s="25">
        <f t="shared" ca="1" si="1"/>
        <v>21</v>
      </c>
      <c r="B7" s="29">
        <f t="shared" ca="1" si="0"/>
        <v>2001</v>
      </c>
      <c r="C7" s="37" t="str">
        <f t="shared" ca="1" si="2"/>
        <v>Jarosław</v>
      </c>
      <c r="D7" s="34"/>
      <c r="M7" s="25">
        <v>6</v>
      </c>
      <c r="N7" s="1" t="s">
        <v>6</v>
      </c>
    </row>
    <row r="8" spans="1:14">
      <c r="A8" s="25">
        <f t="shared" ca="1" si="1"/>
        <v>22</v>
      </c>
      <c r="B8" s="29">
        <f t="shared" ca="1" si="0"/>
        <v>1997</v>
      </c>
      <c r="C8" s="37" t="str">
        <f t="shared" ca="1" si="2"/>
        <v>Andrzej</v>
      </c>
      <c r="D8" s="34"/>
      <c r="M8" s="25">
        <v>7</v>
      </c>
      <c r="N8" s="1" t="s">
        <v>7</v>
      </c>
    </row>
    <row r="9" spans="1:14">
      <c r="A9" s="25">
        <f t="shared" ca="1" si="1"/>
        <v>23</v>
      </c>
      <c r="B9" s="29">
        <f t="shared" ca="1" si="0"/>
        <v>2009</v>
      </c>
      <c r="C9" s="37" t="str">
        <f t="shared" ca="1" si="2"/>
        <v>Maciej</v>
      </c>
      <c r="D9" s="34"/>
      <c r="M9" s="25">
        <v>8</v>
      </c>
      <c r="N9" s="1" t="s">
        <v>2</v>
      </c>
    </row>
    <row r="10" spans="1:14">
      <c r="A10" s="25">
        <f t="shared" ca="1" si="1"/>
        <v>24</v>
      </c>
      <c r="B10" s="29">
        <f t="shared" ca="1" si="0"/>
        <v>2000</v>
      </c>
      <c r="C10" s="37" t="str">
        <f t="shared" ca="1" si="2"/>
        <v>Katarzyna</v>
      </c>
      <c r="D10" s="34"/>
      <c r="M10" s="25">
        <v>9</v>
      </c>
      <c r="N10" s="1" t="s">
        <v>8</v>
      </c>
    </row>
    <row r="11" spans="1:14">
      <c r="A11" s="25">
        <f t="shared" ca="1" si="1"/>
        <v>25</v>
      </c>
      <c r="B11" s="29">
        <f t="shared" ca="1" si="0"/>
        <v>2005</v>
      </c>
      <c r="C11" s="37" t="str">
        <f t="shared" ca="1" si="2"/>
        <v>Justyna</v>
      </c>
      <c r="D11" s="34"/>
      <c r="M11" s="25">
        <v>10</v>
      </c>
      <c r="N11" s="1" t="s">
        <v>1</v>
      </c>
    </row>
    <row r="12" spans="1:14">
      <c r="A12" s="25">
        <f t="shared" ca="1" si="1"/>
        <v>26</v>
      </c>
      <c r="B12" s="29">
        <f t="shared" ca="1" si="0"/>
        <v>2008</v>
      </c>
      <c r="C12" s="37" t="str">
        <f t="shared" ca="1" si="2"/>
        <v>Monika</v>
      </c>
      <c r="D12" s="34"/>
      <c r="M12" s="25">
        <v>11</v>
      </c>
      <c r="N12" s="1" t="s">
        <v>2</v>
      </c>
    </row>
    <row r="13" spans="1:14">
      <c r="A13" s="25">
        <f t="shared" ca="1" si="1"/>
        <v>27</v>
      </c>
      <c r="B13" s="29">
        <f t="shared" ca="1" si="0"/>
        <v>1996</v>
      </c>
      <c r="C13" s="37" t="str">
        <f t="shared" ca="1" si="2"/>
        <v>Maria</v>
      </c>
      <c r="D13" s="34"/>
      <c r="M13" s="25">
        <v>12</v>
      </c>
      <c r="N13" s="1" t="s">
        <v>3</v>
      </c>
    </row>
    <row r="14" spans="1:14">
      <c r="A14" s="25">
        <f t="shared" ca="1" si="1"/>
        <v>28</v>
      </c>
      <c r="B14" s="29">
        <f t="shared" ca="1" si="0"/>
        <v>2006</v>
      </c>
      <c r="C14" s="37" t="str">
        <f t="shared" ca="1" si="2"/>
        <v>Anna</v>
      </c>
      <c r="D14" s="34"/>
      <c r="M14" s="25">
        <v>13</v>
      </c>
      <c r="N14" s="1" t="s">
        <v>4</v>
      </c>
    </row>
    <row r="15" spans="1:14">
      <c r="A15" s="25">
        <f t="shared" ca="1" si="1"/>
        <v>29</v>
      </c>
      <c r="B15" s="29">
        <f t="shared" ca="1" si="0"/>
        <v>2007</v>
      </c>
      <c r="C15" s="37" t="str">
        <f t="shared" ca="1" si="2"/>
        <v>Monika</v>
      </c>
      <c r="D15" s="34"/>
      <c r="M15" s="25">
        <v>14</v>
      </c>
      <c r="N15" s="1" t="s">
        <v>5</v>
      </c>
    </row>
    <row r="16" spans="1:14">
      <c r="A16" s="25">
        <f t="shared" ca="1" si="1"/>
        <v>30</v>
      </c>
      <c r="B16" s="29">
        <f t="shared" ca="1" si="0"/>
        <v>2002</v>
      </c>
      <c r="C16" s="37" t="str">
        <f t="shared" ca="1" si="2"/>
        <v>Jarosław</v>
      </c>
      <c r="D16" s="34"/>
      <c r="M16" s="25">
        <v>15</v>
      </c>
      <c r="N16" s="1" t="s">
        <v>6</v>
      </c>
    </row>
    <row r="17" spans="1:14">
      <c r="A17" s="25">
        <f t="shared" ca="1" si="1"/>
        <v>31</v>
      </c>
      <c r="B17" s="29">
        <f t="shared" ca="1" si="0"/>
        <v>2003</v>
      </c>
      <c r="C17" s="37" t="str">
        <f t="shared" ca="1" si="2"/>
        <v>Andrzej</v>
      </c>
      <c r="D17" s="34"/>
      <c r="M17" s="25">
        <v>16</v>
      </c>
      <c r="N17" s="1" t="s">
        <v>7</v>
      </c>
    </row>
    <row r="18" spans="1:14">
      <c r="A18" s="25">
        <f t="shared" ca="1" si="1"/>
        <v>32</v>
      </c>
      <c r="B18" s="29">
        <f t="shared" ca="1" si="0"/>
        <v>2003</v>
      </c>
      <c r="C18" s="37" t="str">
        <f t="shared" ca="1" si="2"/>
        <v>Maciej</v>
      </c>
      <c r="D18" s="34"/>
      <c r="M18" s="25">
        <v>17</v>
      </c>
      <c r="N18" s="1" t="s">
        <v>2</v>
      </c>
    </row>
    <row r="19" spans="1:14">
      <c r="A19" s="25">
        <f t="shared" ca="1" si="1"/>
        <v>33</v>
      </c>
      <c r="B19" s="29">
        <f t="shared" ca="1" si="0"/>
        <v>2002</v>
      </c>
      <c r="C19" s="37" t="str">
        <f t="shared" ca="1" si="2"/>
        <v>Katarzyna</v>
      </c>
      <c r="D19" s="34"/>
      <c r="M19" s="25">
        <v>18</v>
      </c>
      <c r="N19" s="1" t="s">
        <v>8</v>
      </c>
    </row>
    <row r="20" spans="1:14">
      <c r="A20" s="25">
        <f t="shared" ca="1" si="1"/>
        <v>34</v>
      </c>
      <c r="B20" s="29">
        <f t="shared" ca="1" si="0"/>
        <v>2002</v>
      </c>
      <c r="C20" s="37" t="str">
        <f t="shared" ca="1" si="2"/>
        <v>Justyna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35</v>
      </c>
      <c r="B21" s="29">
        <f t="shared" ca="1" si="0"/>
        <v>2006</v>
      </c>
      <c r="C21" s="37" t="str">
        <f t="shared" ca="1" si="2"/>
        <v>Monika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43" t="s">
        <v>142</v>
      </c>
      <c r="J2" s="144"/>
      <c r="K2" s="144"/>
      <c r="L2" s="144"/>
    </row>
    <row r="3" spans="1:12" ht="13.5" thickBot="1">
      <c r="A3" s="77" t="s">
        <v>143</v>
      </c>
      <c r="B3" s="78"/>
      <c r="C3" s="78"/>
      <c r="D3" s="78"/>
      <c r="E3" s="78"/>
      <c r="F3" s="77" t="s">
        <v>144</v>
      </c>
      <c r="G3" s="81">
        <f ca="1">ROUND(RAND()*180,0)</f>
        <v>59</v>
      </c>
      <c r="H3" s="77" t="s">
        <v>145</v>
      </c>
      <c r="I3" s="142"/>
      <c r="J3" s="142"/>
      <c r="K3" s="142"/>
      <c r="L3" s="142"/>
    </row>
    <row r="4" spans="1:12">
      <c r="A4" s="79" t="s">
        <v>146</v>
      </c>
      <c r="B4" s="79"/>
      <c r="C4" s="79"/>
      <c r="D4" s="79"/>
      <c r="E4" s="79"/>
      <c r="F4" s="79"/>
      <c r="G4" s="79"/>
      <c r="H4" s="79"/>
      <c r="I4" s="142"/>
      <c r="J4" s="142"/>
      <c r="K4" s="142"/>
      <c r="L4" s="142"/>
    </row>
    <row r="5" spans="1:12">
      <c r="A5" s="145" t="s">
        <v>149</v>
      </c>
      <c r="B5" s="145"/>
      <c r="C5" s="145"/>
      <c r="D5" s="145"/>
      <c r="E5" s="145"/>
      <c r="F5" s="145"/>
      <c r="G5" s="145"/>
      <c r="H5" s="145"/>
      <c r="I5" s="142"/>
      <c r="J5" s="142"/>
      <c r="K5" s="142"/>
      <c r="L5" s="142"/>
    </row>
    <row r="6" spans="1:12">
      <c r="I6" s="142"/>
      <c r="J6" s="142"/>
      <c r="K6" s="142"/>
      <c r="L6" s="142"/>
    </row>
    <row r="7" spans="1:12">
      <c r="I7" s="142"/>
      <c r="J7" s="142"/>
      <c r="K7" s="142"/>
      <c r="L7" s="142"/>
    </row>
    <row r="8" spans="1:12">
      <c r="I8" s="142"/>
      <c r="J8" s="142"/>
      <c r="K8" s="142"/>
      <c r="L8" s="142"/>
    </row>
    <row r="15" spans="1:12" ht="13.5" thickBot="1">
      <c r="I15" s="143" t="s">
        <v>142</v>
      </c>
      <c r="J15" s="144"/>
      <c r="K15" s="144"/>
      <c r="L15" s="144"/>
    </row>
    <row r="16" spans="1:12" ht="13.5" thickBot="1">
      <c r="A16" s="77" t="s">
        <v>143</v>
      </c>
      <c r="B16" s="78"/>
      <c r="C16" s="78"/>
      <c r="D16" s="78"/>
      <c r="E16" s="78"/>
      <c r="F16" s="80" t="s">
        <v>147</v>
      </c>
      <c r="G16" s="81">
        <f ca="1">ROUND(RAND()*180,0)</f>
        <v>3</v>
      </c>
      <c r="H16" s="77"/>
      <c r="I16" s="142"/>
      <c r="J16" s="142"/>
      <c r="K16" s="142"/>
      <c r="L16" s="142"/>
    </row>
    <row r="17" spans="1:12">
      <c r="A17" s="79" t="s">
        <v>148</v>
      </c>
      <c r="B17" s="79"/>
      <c r="C17" s="79"/>
      <c r="D17" s="79"/>
      <c r="E17" s="79"/>
      <c r="F17" s="79"/>
      <c r="G17" s="79"/>
      <c r="H17" s="79"/>
      <c r="I17" s="142"/>
      <c r="J17" s="142"/>
      <c r="K17" s="142"/>
      <c r="L17" s="142"/>
    </row>
    <row r="18" spans="1:12">
      <c r="A18" s="145" t="s">
        <v>150</v>
      </c>
      <c r="B18" s="145"/>
      <c r="C18" s="145"/>
      <c r="D18" s="145"/>
      <c r="E18" s="145"/>
      <c r="F18" s="145"/>
      <c r="G18" s="145"/>
      <c r="H18" s="145"/>
      <c r="I18" s="142"/>
      <c r="J18" s="142"/>
      <c r="K18" s="142"/>
      <c r="L18" s="142"/>
    </row>
    <row r="19" spans="1:12">
      <c r="I19" s="142"/>
      <c r="J19" s="142"/>
      <c r="K19" s="142"/>
      <c r="L19" s="142"/>
    </row>
    <row r="20" spans="1:12">
      <c r="I20" s="142"/>
      <c r="J20" s="142"/>
      <c r="K20" s="142"/>
      <c r="L20" s="142"/>
    </row>
    <row r="21" spans="1:12">
      <c r="I21" s="142"/>
      <c r="J21" s="142"/>
      <c r="K21" s="142"/>
      <c r="L21" s="142"/>
    </row>
    <row r="26" spans="1:12" ht="13.5" thickBot="1">
      <c r="I26" s="143" t="s">
        <v>142</v>
      </c>
      <c r="J26" s="144"/>
      <c r="K26" s="144"/>
      <c r="L26" s="144"/>
    </row>
    <row r="27" spans="1:12" ht="13.5" thickBot="1">
      <c r="A27" s="77" t="s">
        <v>143</v>
      </c>
      <c r="B27" s="78"/>
      <c r="C27" s="78"/>
      <c r="D27" s="78"/>
      <c r="E27" s="78"/>
      <c r="F27" s="77" t="s">
        <v>144</v>
      </c>
      <c r="G27" s="81">
        <f ca="1">ROUND(RAND()*180,0)</f>
        <v>86</v>
      </c>
      <c r="H27" s="77" t="s">
        <v>145</v>
      </c>
      <c r="I27" s="142"/>
      <c r="J27" s="142"/>
      <c r="K27" s="142"/>
      <c r="L27" s="142"/>
    </row>
    <row r="28" spans="1:12">
      <c r="A28" s="79" t="s">
        <v>146</v>
      </c>
      <c r="B28" s="79"/>
      <c r="C28" s="79"/>
      <c r="D28" s="79"/>
      <c r="E28" s="79"/>
      <c r="F28" s="79"/>
      <c r="G28" s="79"/>
      <c r="H28" s="79"/>
      <c r="I28" s="142"/>
      <c r="J28" s="142"/>
      <c r="K28" s="142"/>
      <c r="L28" s="142"/>
    </row>
    <row r="29" spans="1:12">
      <c r="A29" s="145" t="s">
        <v>218</v>
      </c>
      <c r="B29" s="145"/>
      <c r="C29" s="145"/>
      <c r="D29" s="145"/>
      <c r="E29" s="145"/>
      <c r="F29" s="145"/>
      <c r="G29" s="145"/>
      <c r="H29" s="145"/>
      <c r="I29" s="142"/>
      <c r="J29" s="142"/>
      <c r="K29" s="142"/>
      <c r="L29" s="142"/>
    </row>
    <row r="30" spans="1:12">
      <c r="I30" s="142"/>
      <c r="J30" s="142"/>
      <c r="K30" s="142"/>
      <c r="L30" s="142"/>
    </row>
    <row r="31" spans="1:12">
      <c r="I31" s="142"/>
      <c r="J31" s="142"/>
      <c r="K31" s="142"/>
      <c r="L31" s="142"/>
    </row>
    <row r="32" spans="1:12">
      <c r="I32" s="142"/>
      <c r="J32" s="142"/>
      <c r="K32" s="142"/>
      <c r="L32" s="142"/>
    </row>
    <row r="39" spans="1:12" ht="13.5" thickBot="1">
      <c r="I39" s="143" t="s">
        <v>142</v>
      </c>
      <c r="J39" s="144"/>
      <c r="K39" s="144"/>
      <c r="L39" s="144"/>
    </row>
    <row r="40" spans="1:12" ht="13.5" thickBot="1">
      <c r="A40" s="77" t="s">
        <v>143</v>
      </c>
      <c r="B40" s="78"/>
      <c r="C40" s="78"/>
      <c r="D40" s="78"/>
      <c r="E40" s="78"/>
      <c r="F40" s="80" t="s">
        <v>280</v>
      </c>
      <c r="G40" s="81">
        <f ca="1">ROUND(RAND()*180,0)</f>
        <v>102</v>
      </c>
      <c r="H40" s="77"/>
      <c r="I40" s="142"/>
      <c r="J40" s="142"/>
      <c r="K40" s="142"/>
      <c r="L40" s="142"/>
    </row>
    <row r="41" spans="1:12">
      <c r="A41" s="79" t="s">
        <v>148</v>
      </c>
      <c r="B41" s="79"/>
      <c r="C41" s="79"/>
      <c r="D41" s="79"/>
      <c r="E41" s="79"/>
      <c r="F41" s="79"/>
      <c r="G41" s="79"/>
      <c r="H41" s="79"/>
      <c r="I41" s="142"/>
      <c r="J41" s="142"/>
      <c r="K41" s="142"/>
      <c r="L41" s="142"/>
    </row>
    <row r="42" spans="1:12">
      <c r="A42" s="145" t="s">
        <v>219</v>
      </c>
      <c r="B42" s="145"/>
      <c r="C42" s="145"/>
      <c r="D42" s="145"/>
      <c r="E42" s="145"/>
      <c r="F42" s="145"/>
      <c r="G42" s="145"/>
      <c r="H42" s="145"/>
      <c r="I42" s="142"/>
      <c r="J42" s="142"/>
      <c r="K42" s="142"/>
      <c r="L42" s="142"/>
    </row>
    <row r="43" spans="1:12">
      <c r="I43" s="142"/>
      <c r="J43" s="142"/>
      <c r="K43" s="142"/>
      <c r="L43" s="142"/>
    </row>
    <row r="44" spans="1:12">
      <c r="I44" s="142"/>
      <c r="J44" s="142"/>
      <c r="K44" s="142"/>
      <c r="L44" s="142"/>
    </row>
    <row r="45" spans="1:12">
      <c r="I45" s="142"/>
      <c r="J45" s="142"/>
      <c r="K45" s="142"/>
      <c r="L45" s="142"/>
    </row>
    <row r="50" spans="1:12" ht="13.5" thickBot="1">
      <c r="I50" s="143" t="s">
        <v>142</v>
      </c>
      <c r="J50" s="144"/>
      <c r="K50" s="144"/>
      <c r="L50" s="144"/>
    </row>
    <row r="51" spans="1:12" ht="13.5" thickBot="1">
      <c r="A51" s="77" t="s">
        <v>143</v>
      </c>
      <c r="B51" s="78"/>
      <c r="C51" s="78"/>
      <c r="D51" s="78"/>
      <c r="E51" s="78"/>
      <c r="F51" s="80" t="s">
        <v>280</v>
      </c>
      <c r="G51" s="81">
        <f ca="1">ROUND(RAND()*180,0)</f>
        <v>103</v>
      </c>
      <c r="H51" s="77"/>
      <c r="I51" s="142"/>
      <c r="J51" s="142"/>
      <c r="K51" s="142"/>
      <c r="L51" s="142"/>
    </row>
    <row r="52" spans="1:12">
      <c r="A52" s="79" t="s">
        <v>148</v>
      </c>
      <c r="B52" s="79"/>
      <c r="C52" s="79"/>
      <c r="D52" s="79"/>
      <c r="E52" s="79"/>
      <c r="F52" s="79"/>
      <c r="G52" s="79"/>
      <c r="H52" s="79"/>
      <c r="I52" s="142"/>
      <c r="J52" s="142"/>
      <c r="K52" s="142"/>
      <c r="L52" s="142"/>
    </row>
    <row r="53" spans="1:12">
      <c r="A53" s="145" t="s">
        <v>220</v>
      </c>
      <c r="B53" s="145"/>
      <c r="C53" s="145"/>
      <c r="D53" s="145"/>
      <c r="E53" s="145"/>
      <c r="F53" s="145"/>
      <c r="G53" s="145"/>
      <c r="H53" s="145"/>
      <c r="I53" s="142"/>
      <c r="J53" s="142"/>
      <c r="K53" s="142"/>
      <c r="L53" s="142"/>
    </row>
    <row r="54" spans="1:12">
      <c r="I54" s="142"/>
      <c r="J54" s="142"/>
      <c r="K54" s="142"/>
      <c r="L54" s="142"/>
    </row>
    <row r="55" spans="1:12">
      <c r="I55" s="142"/>
      <c r="J55" s="142"/>
      <c r="K55" s="142"/>
      <c r="L55" s="142"/>
    </row>
    <row r="56" spans="1:12">
      <c r="I56" s="142"/>
      <c r="J56" s="142"/>
      <c r="K56" s="142"/>
      <c r="L56" s="142"/>
    </row>
  </sheetData>
  <customSheetViews>
    <customSheetView guid="{3DF5E802-5CA5-43EF-BE6A-D6FCDA5F65F2}" topLeftCell="A31">
      <pageMargins left="0.7" right="0.7" top="0.75" bottom="0.75" header="0.3" footer="0.3"/>
      <pageSetup paperSize="9" orientation="portrait" r:id="rId1"/>
    </customSheetView>
    <customSheetView guid="{F9B480CE-077C-416E-ACF9-56227F746F4A}" topLeftCell="A31">
      <pageMargins left="0.7" right="0.7" top="0.75" bottom="0.75" header="0.3" footer="0.3"/>
      <pageSetup paperSize="9" orientation="portrait" r:id="rId2"/>
    </customSheetView>
  </customSheetViews>
  <mergeCells count="15"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  <mergeCell ref="I3:L8"/>
    <mergeCell ref="I2:L2"/>
    <mergeCell ref="I15:L15"/>
    <mergeCell ref="I16:L21"/>
    <mergeCell ref="A5:H5"/>
    <mergeCell ref="A18:H18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2">
        <f ca="1">ROUND(RAND()*3286+40544,0)</f>
        <v>41107</v>
      </c>
      <c r="B2" s="31">
        <f t="shared" ref="B2:B21" ca="1" si="0">YEAR(A2)</f>
        <v>2012</v>
      </c>
      <c r="C2" s="83"/>
      <c r="L2" s="25">
        <v>1</v>
      </c>
      <c r="M2" s="37" t="s">
        <v>71</v>
      </c>
    </row>
    <row r="3" spans="1:13">
      <c r="A3" s="82">
        <f t="shared" ref="A3:A21" ca="1" si="1">ROUND(RAND()*3286+40544,0)</f>
        <v>43328</v>
      </c>
      <c r="B3" s="31">
        <f t="shared" ca="1" si="0"/>
        <v>2018</v>
      </c>
      <c r="C3" s="83"/>
      <c r="L3" s="25">
        <v>2</v>
      </c>
      <c r="M3" s="37" t="s">
        <v>72</v>
      </c>
    </row>
    <row r="4" spans="1:13">
      <c r="A4" s="82">
        <f t="shared" ca="1" si="1"/>
        <v>40921</v>
      </c>
      <c r="B4" s="31">
        <f t="shared" ca="1" si="0"/>
        <v>2012</v>
      </c>
      <c r="C4" s="83"/>
      <c r="L4" s="25">
        <v>3</v>
      </c>
      <c r="M4" s="37" t="s">
        <v>73</v>
      </c>
    </row>
    <row r="5" spans="1:13">
      <c r="A5" s="82">
        <f t="shared" ca="1" si="1"/>
        <v>40843</v>
      </c>
      <c r="B5" s="31">
        <f t="shared" ca="1" si="0"/>
        <v>2011</v>
      </c>
      <c r="C5" s="83"/>
      <c r="L5" s="25">
        <v>4</v>
      </c>
      <c r="M5" s="37" t="s">
        <v>74</v>
      </c>
    </row>
    <row r="6" spans="1:13">
      <c r="A6" s="82">
        <f t="shared" ca="1" si="1"/>
        <v>43175</v>
      </c>
      <c r="B6" s="31">
        <f t="shared" ca="1" si="0"/>
        <v>2018</v>
      </c>
      <c r="C6" s="83"/>
      <c r="L6" s="25">
        <v>5</v>
      </c>
      <c r="M6" s="37" t="s">
        <v>75</v>
      </c>
    </row>
    <row r="7" spans="1:13">
      <c r="A7" s="82">
        <f t="shared" ca="1" si="1"/>
        <v>41121</v>
      </c>
      <c r="B7" s="31">
        <f t="shared" ca="1" si="0"/>
        <v>2012</v>
      </c>
      <c r="C7" s="83"/>
      <c r="L7" s="25">
        <v>6</v>
      </c>
      <c r="M7" s="37" t="s">
        <v>76</v>
      </c>
    </row>
    <row r="8" spans="1:13">
      <c r="A8" s="82">
        <f t="shared" ca="1" si="1"/>
        <v>43637</v>
      </c>
      <c r="B8" s="31">
        <f t="shared" ca="1" si="0"/>
        <v>2019</v>
      </c>
      <c r="C8" s="83"/>
      <c r="L8" s="25">
        <v>7</v>
      </c>
      <c r="M8" s="37" t="s">
        <v>114</v>
      </c>
    </row>
    <row r="9" spans="1:13">
      <c r="A9" s="82">
        <f t="shared" ca="1" si="1"/>
        <v>41576</v>
      </c>
      <c r="B9" s="31">
        <f t="shared" ca="1" si="0"/>
        <v>2013</v>
      </c>
      <c r="C9" s="83"/>
      <c r="L9" s="25">
        <v>8</v>
      </c>
      <c r="M9" s="37" t="s">
        <v>115</v>
      </c>
    </row>
    <row r="10" spans="1:13">
      <c r="A10" s="82">
        <f t="shared" ca="1" si="1"/>
        <v>40644</v>
      </c>
      <c r="B10" s="31">
        <f t="shared" ca="1" si="0"/>
        <v>2011</v>
      </c>
      <c r="C10" s="83"/>
      <c r="L10" s="25">
        <v>9</v>
      </c>
      <c r="M10" s="37" t="s">
        <v>116</v>
      </c>
    </row>
    <row r="11" spans="1:13">
      <c r="A11" s="82">
        <f t="shared" ca="1" si="1"/>
        <v>43691</v>
      </c>
      <c r="B11" s="31">
        <f t="shared" ca="1" si="0"/>
        <v>2019</v>
      </c>
      <c r="C11" s="83"/>
      <c r="L11" s="25">
        <v>10</v>
      </c>
      <c r="M11" s="37" t="s">
        <v>117</v>
      </c>
    </row>
    <row r="12" spans="1:13">
      <c r="A12" s="82">
        <f t="shared" ca="1" si="1"/>
        <v>43166</v>
      </c>
      <c r="B12" s="31">
        <f t="shared" ca="1" si="0"/>
        <v>2018</v>
      </c>
      <c r="C12" s="83"/>
      <c r="L12" s="25">
        <v>11</v>
      </c>
      <c r="M12" s="37" t="s">
        <v>118</v>
      </c>
    </row>
    <row r="13" spans="1:13">
      <c r="A13" s="82">
        <f t="shared" ca="1" si="1"/>
        <v>43305</v>
      </c>
      <c r="B13" s="31">
        <f t="shared" ca="1" si="0"/>
        <v>2018</v>
      </c>
      <c r="C13" s="83"/>
      <c r="L13" s="25">
        <v>12</v>
      </c>
      <c r="M13" s="37" t="s">
        <v>119</v>
      </c>
    </row>
    <row r="14" spans="1:13">
      <c r="A14" s="82">
        <f t="shared" ca="1" si="1"/>
        <v>41283</v>
      </c>
      <c r="B14" s="31">
        <f t="shared" ca="1" si="0"/>
        <v>2013</v>
      </c>
      <c r="C14" s="83"/>
      <c r="L14" s="25">
        <v>13</v>
      </c>
      <c r="M14" s="37" t="s">
        <v>120</v>
      </c>
    </row>
    <row r="15" spans="1:13">
      <c r="A15" s="82">
        <f t="shared" ca="1" si="1"/>
        <v>41709</v>
      </c>
      <c r="B15" s="31">
        <f t="shared" ca="1" si="0"/>
        <v>2014</v>
      </c>
      <c r="C15" s="83"/>
      <c r="L15" s="25">
        <v>14</v>
      </c>
      <c r="M15" s="37" t="s">
        <v>121</v>
      </c>
    </row>
    <row r="16" spans="1:13">
      <c r="A16" s="82">
        <f t="shared" ca="1" si="1"/>
        <v>40884</v>
      </c>
      <c r="B16" s="31">
        <f t="shared" ca="1" si="0"/>
        <v>2011</v>
      </c>
      <c r="C16" s="83"/>
      <c r="L16" s="25">
        <v>15</v>
      </c>
      <c r="M16" s="37" t="s">
        <v>122</v>
      </c>
    </row>
    <row r="17" spans="1:13">
      <c r="A17" s="82">
        <f t="shared" ca="1" si="1"/>
        <v>41662</v>
      </c>
      <c r="B17" s="31">
        <f t="shared" ca="1" si="0"/>
        <v>2014</v>
      </c>
      <c r="C17" s="83"/>
      <c r="L17" s="25">
        <v>16</v>
      </c>
      <c r="M17" s="37" t="s">
        <v>123</v>
      </c>
    </row>
    <row r="18" spans="1:13">
      <c r="A18" s="82">
        <f t="shared" ca="1" si="1"/>
        <v>40949</v>
      </c>
      <c r="B18" s="31">
        <f t="shared" ca="1" si="0"/>
        <v>2012</v>
      </c>
      <c r="C18" s="83"/>
      <c r="L18" s="25">
        <v>17</v>
      </c>
      <c r="M18" s="37" t="s">
        <v>124</v>
      </c>
    </row>
    <row r="19" spans="1:13">
      <c r="A19" s="82">
        <f t="shared" ca="1" si="1"/>
        <v>42072</v>
      </c>
      <c r="B19" s="31">
        <f t="shared" ca="1" si="0"/>
        <v>2015</v>
      </c>
      <c r="C19" s="83"/>
      <c r="L19" s="25">
        <v>18</v>
      </c>
      <c r="M19" s="37" t="s">
        <v>125</v>
      </c>
    </row>
    <row r="20" spans="1:13">
      <c r="A20" s="82">
        <f t="shared" ca="1" si="1"/>
        <v>43602</v>
      </c>
      <c r="B20" s="31">
        <f t="shared" ca="1" si="0"/>
        <v>2019</v>
      </c>
      <c r="C20" s="83"/>
      <c r="L20" s="25">
        <v>19</v>
      </c>
      <c r="M20" s="37" t="s">
        <v>126</v>
      </c>
    </row>
    <row r="21" spans="1:13">
      <c r="A21" s="82">
        <f t="shared" ca="1" si="1"/>
        <v>40877</v>
      </c>
      <c r="B21" s="31">
        <f t="shared" ca="1" si="0"/>
        <v>2011</v>
      </c>
      <c r="C21" s="83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3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2">
        <f ca="1">ROUND(RAND()*3286+40544,0)</f>
        <v>43038</v>
      </c>
      <c r="B2" s="31">
        <f ca="1">MONTH(A2)</f>
        <v>10</v>
      </c>
      <c r="C2" s="83"/>
      <c r="L2" s="25">
        <v>1</v>
      </c>
      <c r="M2" s="37" t="s">
        <v>71</v>
      </c>
    </row>
    <row r="3" spans="1:13">
      <c r="A3" s="82">
        <f t="shared" ref="A3:A21" ca="1" si="0">ROUND(RAND()*3286+40544,0)</f>
        <v>41481</v>
      </c>
      <c r="B3" s="31">
        <f t="shared" ref="B3:B21" ca="1" si="1">MONTH(A3)</f>
        <v>7</v>
      </c>
      <c r="C3" s="83"/>
      <c r="L3" s="25">
        <v>2</v>
      </c>
      <c r="M3" s="37" t="s">
        <v>72</v>
      </c>
    </row>
    <row r="4" spans="1:13">
      <c r="A4" s="82">
        <f t="shared" ca="1" si="0"/>
        <v>41106</v>
      </c>
      <c r="B4" s="31">
        <f t="shared" ca="1" si="1"/>
        <v>7</v>
      </c>
      <c r="C4" s="83"/>
      <c r="L4" s="25">
        <v>3</v>
      </c>
      <c r="M4" s="37" t="s">
        <v>73</v>
      </c>
    </row>
    <row r="5" spans="1:13">
      <c r="A5" s="82">
        <f t="shared" ca="1" si="0"/>
        <v>43111</v>
      </c>
      <c r="B5" s="31">
        <f t="shared" ca="1" si="1"/>
        <v>1</v>
      </c>
      <c r="C5" s="83"/>
      <c r="L5" s="25">
        <v>4</v>
      </c>
      <c r="M5" s="37" t="s">
        <v>74</v>
      </c>
    </row>
    <row r="6" spans="1:13">
      <c r="A6" s="82">
        <f t="shared" ca="1" si="0"/>
        <v>42483</v>
      </c>
      <c r="B6" s="31">
        <f t="shared" ca="1" si="1"/>
        <v>4</v>
      </c>
      <c r="C6" s="83"/>
      <c r="L6" s="25">
        <v>5</v>
      </c>
      <c r="M6" s="37" t="s">
        <v>75</v>
      </c>
    </row>
    <row r="7" spans="1:13">
      <c r="A7" s="82">
        <f t="shared" ca="1" si="0"/>
        <v>43782</v>
      </c>
      <c r="B7" s="31">
        <f t="shared" ca="1" si="1"/>
        <v>11</v>
      </c>
      <c r="C7" s="83"/>
      <c r="L7" s="25">
        <v>6</v>
      </c>
      <c r="M7" s="37" t="s">
        <v>76</v>
      </c>
    </row>
    <row r="8" spans="1:13">
      <c r="A8" s="82">
        <f t="shared" ca="1" si="0"/>
        <v>43405</v>
      </c>
      <c r="B8" s="31">
        <f t="shared" ca="1" si="1"/>
        <v>11</v>
      </c>
      <c r="C8" s="83"/>
      <c r="L8" s="25">
        <v>7</v>
      </c>
      <c r="M8" s="37" t="s">
        <v>114</v>
      </c>
    </row>
    <row r="9" spans="1:13">
      <c r="A9" s="82">
        <f t="shared" ca="1" si="0"/>
        <v>43811</v>
      </c>
      <c r="B9" s="31">
        <f t="shared" ca="1" si="1"/>
        <v>12</v>
      </c>
      <c r="C9" s="83"/>
      <c r="L9" s="25">
        <v>8</v>
      </c>
      <c r="M9" s="37" t="s">
        <v>115</v>
      </c>
    </row>
    <row r="10" spans="1:13">
      <c r="A10" s="82">
        <f t="shared" ca="1" si="0"/>
        <v>43030</v>
      </c>
      <c r="B10" s="31">
        <f t="shared" ca="1" si="1"/>
        <v>10</v>
      </c>
      <c r="C10" s="83"/>
      <c r="L10" s="25">
        <v>9</v>
      </c>
      <c r="M10" s="37" t="s">
        <v>116</v>
      </c>
    </row>
    <row r="11" spans="1:13">
      <c r="A11" s="82">
        <f t="shared" ca="1" si="0"/>
        <v>43225</v>
      </c>
      <c r="B11" s="31">
        <f t="shared" ca="1" si="1"/>
        <v>5</v>
      </c>
      <c r="C11" s="83"/>
      <c r="L11" s="25">
        <v>10</v>
      </c>
      <c r="M11" s="37" t="s">
        <v>117</v>
      </c>
    </row>
    <row r="12" spans="1:13">
      <c r="A12" s="82">
        <f t="shared" ca="1" si="0"/>
        <v>43532</v>
      </c>
      <c r="B12" s="31">
        <f t="shared" ca="1" si="1"/>
        <v>3</v>
      </c>
      <c r="C12" s="83"/>
      <c r="L12" s="25">
        <v>11</v>
      </c>
      <c r="M12" s="37" t="s">
        <v>118</v>
      </c>
    </row>
    <row r="13" spans="1:13">
      <c r="A13" s="82">
        <f t="shared" ca="1" si="0"/>
        <v>40710</v>
      </c>
      <c r="B13" s="31">
        <f t="shared" ca="1" si="1"/>
        <v>6</v>
      </c>
      <c r="C13" s="83"/>
      <c r="L13" s="25">
        <v>12</v>
      </c>
      <c r="M13" s="37" t="s">
        <v>119</v>
      </c>
    </row>
    <row r="14" spans="1:13">
      <c r="A14" s="82">
        <f t="shared" ca="1" si="0"/>
        <v>41337</v>
      </c>
      <c r="B14" s="31">
        <f t="shared" ca="1" si="1"/>
        <v>3</v>
      </c>
      <c r="C14" s="83"/>
      <c r="L14" s="25">
        <v>13</v>
      </c>
      <c r="M14" s="37" t="s">
        <v>120</v>
      </c>
    </row>
    <row r="15" spans="1:13">
      <c r="A15" s="82">
        <f t="shared" ca="1" si="0"/>
        <v>43317</v>
      </c>
      <c r="B15" s="31">
        <f t="shared" ca="1" si="1"/>
        <v>8</v>
      </c>
      <c r="C15" s="83"/>
      <c r="L15" s="25">
        <v>14</v>
      </c>
      <c r="M15" s="37" t="s">
        <v>121</v>
      </c>
    </row>
    <row r="16" spans="1:13">
      <c r="A16" s="82">
        <f t="shared" ca="1" si="0"/>
        <v>41840</v>
      </c>
      <c r="B16" s="31">
        <f t="shared" ca="1" si="1"/>
        <v>7</v>
      </c>
      <c r="C16" s="83"/>
      <c r="L16" s="25">
        <v>15</v>
      </c>
      <c r="M16" s="37" t="s">
        <v>122</v>
      </c>
    </row>
    <row r="17" spans="1:13">
      <c r="A17" s="82">
        <f t="shared" ca="1" si="0"/>
        <v>43366</v>
      </c>
      <c r="B17" s="31">
        <f t="shared" ca="1" si="1"/>
        <v>9</v>
      </c>
      <c r="C17" s="83"/>
      <c r="L17" s="25">
        <v>16</v>
      </c>
      <c r="M17" s="37" t="s">
        <v>123</v>
      </c>
    </row>
    <row r="18" spans="1:13">
      <c r="A18" s="82">
        <f t="shared" ca="1" si="0"/>
        <v>43727</v>
      </c>
      <c r="B18" s="31">
        <f t="shared" ca="1" si="1"/>
        <v>9</v>
      </c>
      <c r="C18" s="83"/>
      <c r="L18" s="25">
        <v>17</v>
      </c>
      <c r="M18" s="37" t="s">
        <v>124</v>
      </c>
    </row>
    <row r="19" spans="1:13">
      <c r="A19" s="82">
        <f t="shared" ca="1" si="0"/>
        <v>40739</v>
      </c>
      <c r="B19" s="31">
        <f t="shared" ca="1" si="1"/>
        <v>7</v>
      </c>
      <c r="C19" s="83"/>
      <c r="L19" s="25">
        <v>18</v>
      </c>
      <c r="M19" s="37" t="s">
        <v>125</v>
      </c>
    </row>
    <row r="20" spans="1:13">
      <c r="A20" s="82">
        <f t="shared" ca="1" si="0"/>
        <v>43619</v>
      </c>
      <c r="B20" s="31">
        <f t="shared" ca="1" si="1"/>
        <v>6</v>
      </c>
      <c r="C20" s="83"/>
      <c r="L20" s="25">
        <v>19</v>
      </c>
      <c r="M20" s="37" t="s">
        <v>126</v>
      </c>
    </row>
    <row r="21" spans="1:13">
      <c r="A21" s="82">
        <f t="shared" ca="1" si="0"/>
        <v>41250</v>
      </c>
      <c r="B21" s="31">
        <f t="shared" ca="1" si="1"/>
        <v>12</v>
      </c>
      <c r="C21" s="83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492</v>
      </c>
      <c r="B2" s="83"/>
      <c r="K2" s="25">
        <v>1</v>
      </c>
      <c r="L2" s="37" t="s">
        <v>71</v>
      </c>
    </row>
    <row r="3" spans="1:12">
      <c r="A3" s="31">
        <f t="shared" ref="A3:A21" ca="1" si="0">ROUND(RAND()*998+1,0)</f>
        <v>550</v>
      </c>
      <c r="B3" s="83"/>
      <c r="K3" s="25">
        <v>2</v>
      </c>
      <c r="L3" s="37" t="s">
        <v>72</v>
      </c>
    </row>
    <row r="4" spans="1:12">
      <c r="A4" s="31">
        <f t="shared" ca="1" si="0"/>
        <v>923</v>
      </c>
      <c r="B4" s="83"/>
      <c r="K4" s="25">
        <v>3</v>
      </c>
      <c r="L4" s="37" t="s">
        <v>73</v>
      </c>
    </row>
    <row r="5" spans="1:12">
      <c r="A5" s="31">
        <f t="shared" ca="1" si="0"/>
        <v>880</v>
      </c>
      <c r="B5" s="83"/>
      <c r="K5" s="25">
        <v>4</v>
      </c>
      <c r="L5" s="37" t="s">
        <v>74</v>
      </c>
    </row>
    <row r="6" spans="1:12">
      <c r="A6" s="31">
        <f t="shared" ca="1" si="0"/>
        <v>312</v>
      </c>
      <c r="B6" s="83"/>
      <c r="K6" s="25">
        <v>5</v>
      </c>
      <c r="L6" s="37" t="s">
        <v>75</v>
      </c>
    </row>
    <row r="7" spans="1:12">
      <c r="A7" s="31">
        <f t="shared" ca="1" si="0"/>
        <v>525</v>
      </c>
      <c r="B7" s="83"/>
      <c r="K7" s="25">
        <v>6</v>
      </c>
      <c r="L7" s="37" t="s">
        <v>76</v>
      </c>
    </row>
    <row r="8" spans="1:12">
      <c r="A8" s="31">
        <f t="shared" ca="1" si="0"/>
        <v>940</v>
      </c>
      <c r="B8" s="83"/>
      <c r="K8" s="25">
        <v>7</v>
      </c>
      <c r="L8" s="37" t="s">
        <v>114</v>
      </c>
    </row>
    <row r="9" spans="1:12">
      <c r="A9" s="31">
        <f t="shared" ca="1" si="0"/>
        <v>675</v>
      </c>
      <c r="B9" s="83"/>
      <c r="K9" s="25">
        <v>8</v>
      </c>
      <c r="L9" s="37" t="s">
        <v>115</v>
      </c>
    </row>
    <row r="10" spans="1:12">
      <c r="A10" s="31">
        <f t="shared" ca="1" si="0"/>
        <v>589</v>
      </c>
      <c r="B10" s="83"/>
      <c r="K10" s="25">
        <v>9</v>
      </c>
      <c r="L10" s="37" t="s">
        <v>116</v>
      </c>
    </row>
    <row r="11" spans="1:12">
      <c r="A11" s="31">
        <f t="shared" ca="1" si="0"/>
        <v>13</v>
      </c>
      <c r="B11" s="83"/>
      <c r="K11" s="25">
        <v>10</v>
      </c>
      <c r="L11" s="37" t="s">
        <v>117</v>
      </c>
    </row>
    <row r="12" spans="1:12">
      <c r="A12" s="31">
        <f t="shared" ca="1" si="0"/>
        <v>290</v>
      </c>
      <c r="B12" s="83"/>
      <c r="K12" s="25">
        <v>11</v>
      </c>
      <c r="L12" s="37" t="s">
        <v>118</v>
      </c>
    </row>
    <row r="13" spans="1:12">
      <c r="A13" s="31">
        <f t="shared" ca="1" si="0"/>
        <v>871</v>
      </c>
      <c r="B13" s="83"/>
      <c r="K13" s="25">
        <v>12</v>
      </c>
      <c r="L13" s="37" t="s">
        <v>119</v>
      </c>
    </row>
    <row r="14" spans="1:12">
      <c r="A14" s="31">
        <f t="shared" ca="1" si="0"/>
        <v>271</v>
      </c>
      <c r="B14" s="83"/>
      <c r="K14" s="25">
        <v>13</v>
      </c>
      <c r="L14" s="37" t="s">
        <v>120</v>
      </c>
    </row>
    <row r="15" spans="1:12">
      <c r="A15" s="31">
        <f t="shared" ca="1" si="0"/>
        <v>194</v>
      </c>
      <c r="B15" s="83"/>
      <c r="K15" s="25">
        <v>14</v>
      </c>
      <c r="L15" s="37" t="s">
        <v>121</v>
      </c>
    </row>
    <row r="16" spans="1:12">
      <c r="A16" s="31">
        <f t="shared" ca="1" si="0"/>
        <v>282</v>
      </c>
      <c r="B16" s="83"/>
      <c r="K16" s="25">
        <v>15</v>
      </c>
      <c r="L16" s="37" t="s">
        <v>122</v>
      </c>
    </row>
    <row r="17" spans="1:12">
      <c r="A17" s="31">
        <f t="shared" ca="1" si="0"/>
        <v>765</v>
      </c>
      <c r="B17" s="83"/>
      <c r="K17" s="25">
        <v>16</v>
      </c>
      <c r="L17" s="37" t="s">
        <v>123</v>
      </c>
    </row>
    <row r="18" spans="1:12">
      <c r="A18" s="31">
        <f t="shared" ca="1" si="0"/>
        <v>148</v>
      </c>
      <c r="B18" s="83"/>
      <c r="K18" s="25">
        <v>17</v>
      </c>
      <c r="L18" s="37" t="s">
        <v>124</v>
      </c>
    </row>
    <row r="19" spans="1:12" ht="13.5" thickBot="1">
      <c r="A19" s="31">
        <f t="shared" ca="1" si="0"/>
        <v>512</v>
      </c>
      <c r="B19" s="83"/>
      <c r="K19" s="25">
        <v>18</v>
      </c>
      <c r="L19" s="37" t="s">
        <v>125</v>
      </c>
    </row>
    <row r="20" spans="1:12">
      <c r="A20" s="31">
        <f t="shared" ca="1" si="0"/>
        <v>286</v>
      </c>
      <c r="B20" s="83"/>
      <c r="F20" s="117">
        <v>1</v>
      </c>
      <c r="G20" s="118" t="s">
        <v>232</v>
      </c>
      <c r="H20" s="118" t="s">
        <v>242</v>
      </c>
      <c r="I20" s="118"/>
      <c r="J20" s="119"/>
      <c r="K20" s="25">
        <v>19</v>
      </c>
      <c r="L20" s="37" t="s">
        <v>126</v>
      </c>
    </row>
    <row r="21" spans="1:12">
      <c r="A21" s="31">
        <f t="shared" ca="1" si="0"/>
        <v>224</v>
      </c>
      <c r="B21" s="83"/>
      <c r="F21" s="120">
        <v>2</v>
      </c>
      <c r="G21" s="116" t="s">
        <v>233</v>
      </c>
      <c r="H21" s="116" t="s">
        <v>243</v>
      </c>
      <c r="I21" s="116" t="s">
        <v>251</v>
      </c>
      <c r="J21" s="121" t="s">
        <v>260</v>
      </c>
      <c r="K21" s="25">
        <v>20</v>
      </c>
      <c r="L21" s="37" t="s">
        <v>127</v>
      </c>
    </row>
    <row r="22" spans="1:12">
      <c r="A22" s="36"/>
      <c r="F22" s="120">
        <v>3</v>
      </c>
      <c r="G22" s="116" t="s">
        <v>234</v>
      </c>
      <c r="H22" s="116" t="s">
        <v>244</v>
      </c>
      <c r="I22" s="116" t="s">
        <v>252</v>
      </c>
      <c r="J22" s="121" t="s">
        <v>261</v>
      </c>
      <c r="K22" s="25">
        <v>21</v>
      </c>
      <c r="L22" s="37" t="s">
        <v>71</v>
      </c>
    </row>
    <row r="23" spans="1:12">
      <c r="A23" s="36"/>
      <c r="F23" s="120">
        <v>4</v>
      </c>
      <c r="G23" s="116" t="s">
        <v>235</v>
      </c>
      <c r="H23" s="116" t="s">
        <v>245</v>
      </c>
      <c r="I23" s="116" t="s">
        <v>253</v>
      </c>
      <c r="J23" s="121" t="s">
        <v>262</v>
      </c>
      <c r="K23" s="25">
        <v>22</v>
      </c>
      <c r="L23" s="37" t="s">
        <v>72</v>
      </c>
    </row>
    <row r="24" spans="1:12">
      <c r="A24" s="36"/>
      <c r="F24" s="120">
        <v>5</v>
      </c>
      <c r="G24" s="116" t="s">
        <v>236</v>
      </c>
      <c r="H24" s="116" t="s">
        <v>246</v>
      </c>
      <c r="I24" s="116" t="s">
        <v>254</v>
      </c>
      <c r="J24" s="121" t="s">
        <v>263</v>
      </c>
      <c r="K24" s="25">
        <v>23</v>
      </c>
      <c r="L24" s="37" t="s">
        <v>73</v>
      </c>
    </row>
    <row r="25" spans="1:12">
      <c r="A25" s="36"/>
      <c r="F25" s="120">
        <v>6</v>
      </c>
      <c r="G25" s="116" t="s">
        <v>237</v>
      </c>
      <c r="H25" s="116" t="s">
        <v>247</v>
      </c>
      <c r="I25" s="116" t="s">
        <v>255</v>
      </c>
      <c r="J25" s="121" t="s">
        <v>264</v>
      </c>
      <c r="K25" s="25">
        <v>24</v>
      </c>
      <c r="L25" s="37" t="s">
        <v>74</v>
      </c>
    </row>
    <row r="26" spans="1:12">
      <c r="A26" s="36"/>
      <c r="F26" s="120">
        <v>7</v>
      </c>
      <c r="G26" s="116" t="s">
        <v>238</v>
      </c>
      <c r="H26" s="116" t="s">
        <v>248</v>
      </c>
      <c r="I26" s="116" t="s">
        <v>256</v>
      </c>
      <c r="J26" s="121" t="s">
        <v>265</v>
      </c>
      <c r="K26" s="25">
        <v>25</v>
      </c>
      <c r="L26" s="37" t="s">
        <v>75</v>
      </c>
    </row>
    <row r="27" spans="1:12">
      <c r="F27" s="120">
        <v>8</v>
      </c>
      <c r="G27" s="116" t="s">
        <v>239</v>
      </c>
      <c r="H27" s="116" t="s">
        <v>249</v>
      </c>
      <c r="I27" s="116" t="s">
        <v>257</v>
      </c>
      <c r="J27" s="121" t="s">
        <v>266</v>
      </c>
      <c r="K27" s="25">
        <v>26</v>
      </c>
      <c r="L27" s="37" t="s">
        <v>76</v>
      </c>
    </row>
    <row r="28" spans="1:12">
      <c r="F28" s="120">
        <v>9</v>
      </c>
      <c r="G28" s="116" t="s">
        <v>240</v>
      </c>
      <c r="H28" s="116" t="s">
        <v>250</v>
      </c>
      <c r="I28" s="116" t="s">
        <v>258</v>
      </c>
      <c r="J28" s="121" t="s">
        <v>267</v>
      </c>
      <c r="K28" s="25">
        <v>27</v>
      </c>
      <c r="L28" s="37" t="s">
        <v>114</v>
      </c>
    </row>
    <row r="29" spans="1:12" ht="13.5" thickBot="1">
      <c r="B29" s="69"/>
      <c r="F29" s="122">
        <v>10</v>
      </c>
      <c r="G29" s="123" t="s">
        <v>241</v>
      </c>
      <c r="H29" s="123"/>
      <c r="I29" s="123" t="s">
        <v>259</v>
      </c>
      <c r="J29" s="124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8">
        <f ca="1">ROUND(RAND()*15+1,0)</f>
        <v>15</v>
      </c>
      <c r="B2" s="88">
        <f ca="1">ROUND(RAND()*15+1,0)</f>
        <v>4</v>
      </c>
      <c r="C2" s="82" t="str">
        <f ca="1">VLOOKUP(A2,$I$2:$J$17,2)&amp;VLOOKUP(B2,$I$2:$J$17,2)&amp;" "&amp;ROUND(RAND()*89999+10000,0)</f>
        <v>WE 56405</v>
      </c>
      <c r="D2" s="82" t="str">
        <f ca="1">MID(C2,1,1)</f>
        <v>W</v>
      </c>
      <c r="E2" s="83"/>
      <c r="I2" s="25">
        <v>1</v>
      </c>
      <c r="J2" s="84" t="s">
        <v>65</v>
      </c>
      <c r="K2" s="85" t="s">
        <v>152</v>
      </c>
    </row>
    <row r="3" spans="1:11" ht="12.75" customHeight="1" thickBot="1">
      <c r="A3" s="88">
        <f t="shared" ref="A3:B21" ca="1" si="0">ROUND(RAND()*15+1,0)</f>
        <v>14</v>
      </c>
      <c r="B3" s="88">
        <f t="shared" ca="1" si="0"/>
        <v>3</v>
      </c>
      <c r="C3" s="82" t="str">
        <f t="shared" ref="C3:C21" ca="1" si="1">VLOOKUP(A3,$I$2:$J$17,2)&amp;VLOOKUP(B3,$I$2:$J$17,2)&amp;" "&amp;ROUND(RAND()*89999+10000,0)</f>
        <v>TD 68213</v>
      </c>
      <c r="D3" s="82" t="str">
        <f t="shared" ref="D3:D21" ca="1" si="2">MID(C3,1,1)</f>
        <v>T</v>
      </c>
      <c r="E3" s="83"/>
      <c r="I3" s="25">
        <v>2</v>
      </c>
      <c r="J3" s="86" t="s">
        <v>66</v>
      </c>
      <c r="K3" s="87" t="s">
        <v>153</v>
      </c>
    </row>
    <row r="4" spans="1:11" ht="12.75" customHeight="1" thickBot="1">
      <c r="A4" s="88">
        <f t="shared" ca="1" si="0"/>
        <v>11</v>
      </c>
      <c r="B4" s="88">
        <f t="shared" ca="1" si="0"/>
        <v>2</v>
      </c>
      <c r="C4" s="82" t="str">
        <f t="shared" ca="1" si="1"/>
        <v>PC 95399</v>
      </c>
      <c r="D4" s="82" t="str">
        <f t="shared" ca="1" si="2"/>
        <v>P</v>
      </c>
      <c r="E4" s="83"/>
      <c r="I4" s="25">
        <v>3</v>
      </c>
      <c r="J4" s="86" t="s">
        <v>67</v>
      </c>
      <c r="K4" s="87" t="s">
        <v>154</v>
      </c>
    </row>
    <row r="5" spans="1:11" ht="12.75" customHeight="1" thickBot="1">
      <c r="A5" s="88">
        <f t="shared" ca="1" si="0"/>
        <v>13</v>
      </c>
      <c r="B5" s="88">
        <f t="shared" ca="1" si="0"/>
        <v>5</v>
      </c>
      <c r="C5" s="82" t="str">
        <f t="shared" ca="1" si="1"/>
        <v>SF 96947</v>
      </c>
      <c r="D5" s="82" t="str">
        <f t="shared" ca="1" si="2"/>
        <v>S</v>
      </c>
      <c r="E5" s="83"/>
      <c r="I5" s="25">
        <v>4</v>
      </c>
      <c r="J5" s="86" t="s">
        <v>155</v>
      </c>
      <c r="K5" s="87" t="s">
        <v>156</v>
      </c>
    </row>
    <row r="6" spans="1:11" ht="12.75" customHeight="1" thickBot="1">
      <c r="A6" s="88">
        <f t="shared" ca="1" si="0"/>
        <v>15</v>
      </c>
      <c r="B6" s="88">
        <f t="shared" ca="1" si="0"/>
        <v>12</v>
      </c>
      <c r="C6" s="82" t="str">
        <f t="shared" ca="1" si="1"/>
        <v>WR 56485</v>
      </c>
      <c r="D6" s="82" t="str">
        <f t="shared" ca="1" si="2"/>
        <v>W</v>
      </c>
      <c r="E6" s="83"/>
      <c r="I6" s="25">
        <v>5</v>
      </c>
      <c r="J6" s="86" t="s">
        <v>157</v>
      </c>
      <c r="K6" s="87" t="s">
        <v>158</v>
      </c>
    </row>
    <row r="7" spans="1:11" ht="12.75" customHeight="1" thickBot="1">
      <c r="A7" s="88">
        <f t="shared" ca="1" si="0"/>
        <v>6</v>
      </c>
      <c r="B7" s="88">
        <f t="shared" ca="1" si="0"/>
        <v>8</v>
      </c>
      <c r="C7" s="82" t="str">
        <f t="shared" ca="1" si="1"/>
        <v>GL 17904</v>
      </c>
      <c r="D7" s="82" t="str">
        <f t="shared" ca="1" si="2"/>
        <v>G</v>
      </c>
      <c r="E7" s="83"/>
      <c r="I7" s="25">
        <v>6</v>
      </c>
      <c r="J7" s="86" t="s">
        <v>159</v>
      </c>
      <c r="K7" s="87" t="s">
        <v>160</v>
      </c>
    </row>
    <row r="8" spans="1:11" ht="12.75" customHeight="1" thickBot="1">
      <c r="A8" s="88">
        <f t="shared" ca="1" si="0"/>
        <v>5</v>
      </c>
      <c r="B8" s="88">
        <f t="shared" ca="1" si="0"/>
        <v>7</v>
      </c>
      <c r="C8" s="82" t="str">
        <f t="shared" ca="1" si="1"/>
        <v>FK 73504</v>
      </c>
      <c r="D8" s="82" t="str">
        <f t="shared" ca="1" si="2"/>
        <v>F</v>
      </c>
      <c r="E8" s="83"/>
      <c r="I8" s="25">
        <v>7</v>
      </c>
      <c r="J8" s="86" t="s">
        <v>161</v>
      </c>
      <c r="K8" s="87" t="s">
        <v>162</v>
      </c>
    </row>
    <row r="9" spans="1:11" ht="12.75" customHeight="1" thickBot="1">
      <c r="A9" s="88">
        <f t="shared" ca="1" si="0"/>
        <v>12</v>
      </c>
      <c r="B9" s="88">
        <f t="shared" ca="1" si="0"/>
        <v>8</v>
      </c>
      <c r="C9" s="82" t="str">
        <f t="shared" ca="1" si="1"/>
        <v>RL 50678</v>
      </c>
      <c r="D9" s="82" t="str">
        <f t="shared" ca="1" si="2"/>
        <v>R</v>
      </c>
      <c r="E9" s="83"/>
      <c r="I9" s="25">
        <v>8</v>
      </c>
      <c r="J9" s="86" t="s">
        <v>163</v>
      </c>
      <c r="K9" s="87" t="s">
        <v>164</v>
      </c>
    </row>
    <row r="10" spans="1:11" ht="12.75" customHeight="1" thickBot="1">
      <c r="A10" s="88">
        <f t="shared" ca="1" si="0"/>
        <v>3</v>
      </c>
      <c r="B10" s="88">
        <f t="shared" ca="1" si="0"/>
        <v>4</v>
      </c>
      <c r="C10" s="82" t="str">
        <f t="shared" ca="1" si="1"/>
        <v>DE 88216</v>
      </c>
      <c r="D10" s="82" t="str">
        <f t="shared" ca="1" si="2"/>
        <v>D</v>
      </c>
      <c r="E10" s="83"/>
      <c r="I10" s="25">
        <v>9</v>
      </c>
      <c r="J10" s="86" t="s">
        <v>165</v>
      </c>
      <c r="K10" s="87" t="s">
        <v>166</v>
      </c>
    </row>
    <row r="11" spans="1:11" ht="12.75" customHeight="1" thickBot="1">
      <c r="A11" s="88">
        <f t="shared" ca="1" si="0"/>
        <v>9</v>
      </c>
      <c r="B11" s="88">
        <f t="shared" ca="1" si="0"/>
        <v>13</v>
      </c>
      <c r="C11" s="82" t="str">
        <f t="shared" ca="1" si="1"/>
        <v>NS 63908</v>
      </c>
      <c r="D11" s="82" t="str">
        <f t="shared" ca="1" si="2"/>
        <v>N</v>
      </c>
      <c r="E11" s="83"/>
      <c r="I11" s="25">
        <v>10</v>
      </c>
      <c r="J11" s="86" t="s">
        <v>167</v>
      </c>
      <c r="K11" s="87" t="s">
        <v>168</v>
      </c>
    </row>
    <row r="12" spans="1:11" ht="12.75" customHeight="1" thickBot="1">
      <c r="A12" s="88">
        <f t="shared" ca="1" si="0"/>
        <v>8</v>
      </c>
      <c r="B12" s="88">
        <f t="shared" ca="1" si="0"/>
        <v>13</v>
      </c>
      <c r="C12" s="82" t="str">
        <f t="shared" ca="1" si="1"/>
        <v>LS 83883</v>
      </c>
      <c r="D12" s="82" t="str">
        <f t="shared" ca="1" si="2"/>
        <v>L</v>
      </c>
      <c r="E12" s="83"/>
      <c r="I12" s="25">
        <v>11</v>
      </c>
      <c r="J12" s="86" t="s">
        <v>169</v>
      </c>
      <c r="K12" s="87" t="s">
        <v>170</v>
      </c>
    </row>
    <row r="13" spans="1:11" ht="12.75" customHeight="1" thickBot="1">
      <c r="A13" s="88">
        <f t="shared" ca="1" si="0"/>
        <v>7</v>
      </c>
      <c r="B13" s="88">
        <f t="shared" ca="1" si="0"/>
        <v>7</v>
      </c>
      <c r="C13" s="82" t="str">
        <f t="shared" ca="1" si="1"/>
        <v>KK 75461</v>
      </c>
      <c r="D13" s="82" t="str">
        <f t="shared" ca="1" si="2"/>
        <v>K</v>
      </c>
      <c r="E13" s="83"/>
      <c r="I13" s="25">
        <v>12</v>
      </c>
      <c r="J13" s="86" t="s">
        <v>171</v>
      </c>
      <c r="K13" s="87" t="s">
        <v>172</v>
      </c>
    </row>
    <row r="14" spans="1:11" ht="12.75" customHeight="1" thickBot="1">
      <c r="A14" s="88">
        <f t="shared" ca="1" si="0"/>
        <v>15</v>
      </c>
      <c r="B14" s="88">
        <f t="shared" ca="1" si="0"/>
        <v>9</v>
      </c>
      <c r="C14" s="82" t="str">
        <f t="shared" ca="1" si="1"/>
        <v>WN 44938</v>
      </c>
      <c r="D14" s="82" t="str">
        <f t="shared" ca="1" si="2"/>
        <v>W</v>
      </c>
      <c r="E14" s="83"/>
      <c r="I14" s="25">
        <v>13</v>
      </c>
      <c r="J14" s="86" t="s">
        <v>173</v>
      </c>
      <c r="K14" s="87" t="s">
        <v>174</v>
      </c>
    </row>
    <row r="15" spans="1:11" ht="12.75" customHeight="1" thickBot="1">
      <c r="A15" s="88">
        <f t="shared" ca="1" si="0"/>
        <v>6</v>
      </c>
      <c r="B15" s="88">
        <f t="shared" ca="1" si="0"/>
        <v>2</v>
      </c>
      <c r="C15" s="82" t="str">
        <f t="shared" ca="1" si="1"/>
        <v>GC 22199</v>
      </c>
      <c r="D15" s="82" t="str">
        <f t="shared" ca="1" si="2"/>
        <v>G</v>
      </c>
      <c r="E15" s="83"/>
      <c r="I15" s="25">
        <v>14</v>
      </c>
      <c r="J15" s="86" t="s">
        <v>141</v>
      </c>
      <c r="K15" s="87" t="s">
        <v>175</v>
      </c>
    </row>
    <row r="16" spans="1:11" ht="12.75" customHeight="1" thickBot="1">
      <c r="A16" s="88">
        <f t="shared" ca="1" si="0"/>
        <v>4</v>
      </c>
      <c r="B16" s="88">
        <f t="shared" ca="1" si="0"/>
        <v>13</v>
      </c>
      <c r="C16" s="82" t="str">
        <f t="shared" ca="1" si="1"/>
        <v>ES 79581</v>
      </c>
      <c r="D16" s="82" t="str">
        <f t="shared" ca="1" si="2"/>
        <v>E</v>
      </c>
      <c r="E16" s="83"/>
      <c r="I16" s="25">
        <v>15</v>
      </c>
      <c r="J16" s="86" t="s">
        <v>176</v>
      </c>
      <c r="K16" s="87" t="s">
        <v>177</v>
      </c>
    </row>
    <row r="17" spans="1:11" ht="12.75" customHeight="1" thickBot="1">
      <c r="A17" s="88">
        <f t="shared" ca="1" si="0"/>
        <v>12</v>
      </c>
      <c r="B17" s="88">
        <f t="shared" ca="1" si="0"/>
        <v>11</v>
      </c>
      <c r="C17" s="82" t="str">
        <f t="shared" ca="1" si="1"/>
        <v>RP 59915</v>
      </c>
      <c r="D17" s="82" t="str">
        <f t="shared" ca="1" si="2"/>
        <v>R</v>
      </c>
      <c r="E17" s="83"/>
      <c r="I17" s="25">
        <v>16</v>
      </c>
      <c r="J17" s="86" t="s">
        <v>178</v>
      </c>
      <c r="K17" s="87" t="s">
        <v>179</v>
      </c>
    </row>
    <row r="18" spans="1:11" ht="12.75" customHeight="1">
      <c r="A18" s="88">
        <f t="shared" ca="1" si="0"/>
        <v>5</v>
      </c>
      <c r="B18" s="88">
        <f t="shared" ca="1" si="0"/>
        <v>14</v>
      </c>
      <c r="C18" s="82" t="str">
        <f t="shared" ca="1" si="1"/>
        <v>FT 89410</v>
      </c>
      <c r="D18" s="82" t="str">
        <f t="shared" ca="1" si="2"/>
        <v>F</v>
      </c>
      <c r="E18" s="83"/>
    </row>
    <row r="19" spans="1:11" ht="12.75" customHeight="1">
      <c r="A19" s="88">
        <f t="shared" ca="1" si="0"/>
        <v>8</v>
      </c>
      <c r="B19" s="88">
        <f t="shared" ca="1" si="0"/>
        <v>4</v>
      </c>
      <c r="C19" s="82" t="str">
        <f t="shared" ca="1" si="1"/>
        <v>LE 66701</v>
      </c>
      <c r="D19" s="82" t="str">
        <f t="shared" ca="1" si="2"/>
        <v>L</v>
      </c>
      <c r="E19" s="83"/>
    </row>
    <row r="20" spans="1:11" ht="12.75" customHeight="1">
      <c r="A20" s="88">
        <f t="shared" ca="1" si="0"/>
        <v>8</v>
      </c>
      <c r="B20" s="88">
        <f t="shared" ca="1" si="0"/>
        <v>6</v>
      </c>
      <c r="C20" s="82" t="str">
        <f t="shared" ca="1" si="1"/>
        <v>LG 64907</v>
      </c>
      <c r="D20" s="82" t="str">
        <f t="shared" ca="1" si="2"/>
        <v>L</v>
      </c>
      <c r="E20" s="83"/>
    </row>
    <row r="21" spans="1:11" ht="12.75" customHeight="1">
      <c r="A21" s="88">
        <f t="shared" ca="1" si="0"/>
        <v>8</v>
      </c>
      <c r="B21" s="88">
        <f t="shared" ca="1" si="0"/>
        <v>2</v>
      </c>
      <c r="C21" s="82" t="str">
        <f t="shared" ca="1" si="1"/>
        <v>LC 44744</v>
      </c>
      <c r="D21" s="82" t="str">
        <f t="shared" ca="1" si="2"/>
        <v>L</v>
      </c>
      <c r="E21" s="83"/>
    </row>
  </sheetData>
  <customSheetViews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8">
        <f ca="1">ROUND(RAND()*9+1,0)</f>
        <v>4</v>
      </c>
      <c r="B2" s="27" t="s">
        <v>54</v>
      </c>
      <c r="C2" s="82" t="str">
        <f ca="1">VLOOKUP(A2,$H$2:$I$11,2)</f>
        <v>M</v>
      </c>
      <c r="D2" s="83"/>
      <c r="H2" s="25">
        <v>1</v>
      </c>
      <c r="I2" s="92" t="s">
        <v>157</v>
      </c>
      <c r="J2" s="93" t="s">
        <v>221</v>
      </c>
    </row>
    <row r="3" spans="1:10" ht="12.75" customHeight="1">
      <c r="A3" s="88">
        <f t="shared" ref="A3:A25" ca="1" si="0">ROUND(RAND()*9+1,0)</f>
        <v>10</v>
      </c>
      <c r="B3" s="27" t="s">
        <v>55</v>
      </c>
      <c r="C3" s="82" t="str">
        <f t="shared" ref="C3:C25" ca="1" si="1">VLOOKUP(A3,$H$2:$I$11,2)</f>
        <v>W</v>
      </c>
      <c r="D3" s="83"/>
      <c r="H3" s="25">
        <v>2</v>
      </c>
      <c r="I3" s="92" t="s">
        <v>159</v>
      </c>
      <c r="J3" s="93" t="s">
        <v>222</v>
      </c>
    </row>
    <row r="4" spans="1:10" ht="12.75" customHeight="1">
      <c r="A4" s="88">
        <f t="shared" ca="1" si="0"/>
        <v>2</v>
      </c>
      <c r="B4" s="27" t="s">
        <v>56</v>
      </c>
      <c r="C4" s="82" t="str">
        <f t="shared" ca="1" si="1"/>
        <v>G</v>
      </c>
      <c r="D4" s="83"/>
      <c r="H4" s="25">
        <v>3</v>
      </c>
      <c r="I4" s="92" t="s">
        <v>161</v>
      </c>
      <c r="J4" s="93" t="s">
        <v>223</v>
      </c>
    </row>
    <row r="5" spans="1:10" ht="12.75" customHeight="1">
      <c r="A5" s="88">
        <f t="shared" ca="1" si="0"/>
        <v>7</v>
      </c>
      <c r="B5" s="27" t="s">
        <v>57</v>
      </c>
      <c r="C5" s="82" t="str">
        <f t="shared" ca="1" si="1"/>
        <v>R</v>
      </c>
      <c r="D5" s="83"/>
      <c r="H5" s="25">
        <v>4</v>
      </c>
      <c r="I5" s="92" t="s">
        <v>184</v>
      </c>
      <c r="J5" s="93" t="s">
        <v>224</v>
      </c>
    </row>
    <row r="6" spans="1:10" ht="12.75" customHeight="1">
      <c r="A6" s="88">
        <f t="shared" ca="1" si="0"/>
        <v>1</v>
      </c>
      <c r="B6" s="27" t="s">
        <v>58</v>
      </c>
      <c r="C6" s="82" t="str">
        <f t="shared" ca="1" si="1"/>
        <v>F</v>
      </c>
      <c r="D6" s="83"/>
      <c r="H6" s="25">
        <v>5</v>
      </c>
      <c r="I6" s="92" t="s">
        <v>165</v>
      </c>
      <c r="J6" s="93" t="s">
        <v>225</v>
      </c>
    </row>
    <row r="7" spans="1:10" ht="12.75" customHeight="1">
      <c r="A7" s="88">
        <f t="shared" ca="1" si="0"/>
        <v>4</v>
      </c>
      <c r="B7" s="27" t="s">
        <v>59</v>
      </c>
      <c r="C7" s="82" t="str">
        <f t="shared" ca="1" si="1"/>
        <v>M</v>
      </c>
      <c r="D7" s="83"/>
      <c r="H7" s="25">
        <v>6</v>
      </c>
      <c r="I7" s="92" t="s">
        <v>169</v>
      </c>
      <c r="J7" s="93" t="s">
        <v>226</v>
      </c>
    </row>
    <row r="8" spans="1:10" ht="12.75" customHeight="1">
      <c r="A8" s="88">
        <f t="shared" ca="1" si="0"/>
        <v>9</v>
      </c>
      <c r="B8" s="27" t="s">
        <v>60</v>
      </c>
      <c r="C8" s="82" t="str">
        <f t="shared" ca="1" si="1"/>
        <v>U</v>
      </c>
      <c r="D8" s="83"/>
      <c r="H8" s="25">
        <v>7</v>
      </c>
      <c r="I8" s="92" t="s">
        <v>171</v>
      </c>
      <c r="J8" s="93" t="s">
        <v>227</v>
      </c>
    </row>
    <row r="9" spans="1:10" ht="12.75" customHeight="1">
      <c r="A9" s="88">
        <f t="shared" ca="1" si="0"/>
        <v>6</v>
      </c>
      <c r="B9" s="27" t="s">
        <v>61</v>
      </c>
      <c r="C9" s="82" t="str">
        <f t="shared" ca="1" si="1"/>
        <v>P</v>
      </c>
      <c r="D9" s="83"/>
      <c r="H9" s="25">
        <v>8</v>
      </c>
      <c r="I9" s="92" t="s">
        <v>173</v>
      </c>
      <c r="J9" s="93" t="s">
        <v>228</v>
      </c>
    </row>
    <row r="10" spans="1:10" ht="12.75" customHeight="1">
      <c r="A10" s="88">
        <f t="shared" ca="1" si="0"/>
        <v>2</v>
      </c>
      <c r="B10" s="27" t="s">
        <v>62</v>
      </c>
      <c r="C10" s="82" t="str">
        <f t="shared" ca="1" si="1"/>
        <v>G</v>
      </c>
      <c r="D10" s="83"/>
      <c r="H10" s="25">
        <v>9</v>
      </c>
      <c r="I10" s="92" t="s">
        <v>185</v>
      </c>
      <c r="J10" s="93" t="s">
        <v>229</v>
      </c>
    </row>
    <row r="11" spans="1:10" ht="12.75" customHeight="1">
      <c r="A11" s="88">
        <f t="shared" ca="1" si="0"/>
        <v>2</v>
      </c>
      <c r="B11" s="27" t="s">
        <v>63</v>
      </c>
      <c r="C11" s="82" t="str">
        <f t="shared" ca="1" si="1"/>
        <v>G</v>
      </c>
      <c r="D11" s="83"/>
      <c r="H11" s="25">
        <v>10</v>
      </c>
      <c r="I11" s="92" t="s">
        <v>176</v>
      </c>
      <c r="J11" s="93" t="s">
        <v>279</v>
      </c>
    </row>
    <row r="12" spans="1:10" ht="12.75" customHeight="1">
      <c r="A12" s="88">
        <f t="shared" ca="1" si="0"/>
        <v>10</v>
      </c>
      <c r="B12" s="27" t="s">
        <v>64</v>
      </c>
      <c r="C12" s="82" t="str">
        <f t="shared" ca="1" si="1"/>
        <v>W</v>
      </c>
      <c r="D12" s="83"/>
      <c r="H12" s="89"/>
      <c r="I12" s="90"/>
      <c r="J12" s="91"/>
    </row>
    <row r="13" spans="1:10" ht="12.75" customHeight="1">
      <c r="A13" s="88">
        <f t="shared" ca="1" si="0"/>
        <v>10</v>
      </c>
      <c r="B13" s="27" t="s">
        <v>97</v>
      </c>
      <c r="C13" s="82" t="str">
        <f t="shared" ca="1" si="1"/>
        <v>W</v>
      </c>
      <c r="D13" s="83"/>
      <c r="H13" s="89"/>
      <c r="I13" s="90"/>
      <c r="J13" s="91"/>
    </row>
    <row r="14" spans="1:10" ht="12.75" customHeight="1">
      <c r="A14" s="88">
        <f t="shared" ca="1" si="0"/>
        <v>8</v>
      </c>
      <c r="B14" s="27" t="s">
        <v>98</v>
      </c>
      <c r="C14" s="82" t="str">
        <f t="shared" ca="1" si="1"/>
        <v>S</v>
      </c>
      <c r="D14" s="83"/>
      <c r="H14" s="89"/>
      <c r="I14" s="90"/>
      <c r="J14" s="91"/>
    </row>
    <row r="15" spans="1:10" ht="12.75" customHeight="1">
      <c r="A15" s="88">
        <f t="shared" ca="1" si="0"/>
        <v>5</v>
      </c>
      <c r="B15" s="27" t="s">
        <v>99</v>
      </c>
      <c r="C15" s="82" t="str">
        <f t="shared" ca="1" si="1"/>
        <v>N</v>
      </c>
      <c r="D15" s="83"/>
      <c r="H15" s="89"/>
      <c r="I15" s="90"/>
      <c r="J15" s="91"/>
    </row>
    <row r="16" spans="1:10" ht="12.75" customHeight="1">
      <c r="A16" s="88">
        <f t="shared" ca="1" si="0"/>
        <v>5</v>
      </c>
      <c r="B16" s="27" t="s">
        <v>100</v>
      </c>
      <c r="C16" s="82" t="str">
        <f t="shared" ca="1" si="1"/>
        <v>N</v>
      </c>
      <c r="D16" s="83"/>
      <c r="H16" s="89"/>
      <c r="I16" s="90"/>
      <c r="J16" s="91"/>
    </row>
    <row r="17" spans="1:10" ht="12.75" customHeight="1">
      <c r="A17" s="88">
        <f t="shared" ca="1" si="0"/>
        <v>4</v>
      </c>
      <c r="B17" s="27" t="s">
        <v>101</v>
      </c>
      <c r="C17" s="82" t="str">
        <f t="shared" ca="1" si="1"/>
        <v>M</v>
      </c>
      <c r="D17" s="83"/>
      <c r="H17" s="89"/>
      <c r="I17" s="90"/>
      <c r="J17" s="91"/>
    </row>
    <row r="18" spans="1:10" ht="12.75" customHeight="1">
      <c r="A18" s="88">
        <f t="shared" ca="1" si="0"/>
        <v>4</v>
      </c>
      <c r="B18" s="27" t="s">
        <v>102</v>
      </c>
      <c r="C18" s="82" t="str">
        <f t="shared" ca="1" si="1"/>
        <v>M</v>
      </c>
      <c r="D18" s="83"/>
    </row>
    <row r="19" spans="1:10" ht="12.75" customHeight="1">
      <c r="A19" s="88">
        <f t="shared" ca="1" si="0"/>
        <v>7</v>
      </c>
      <c r="B19" s="27" t="s">
        <v>103</v>
      </c>
      <c r="C19" s="82" t="str">
        <f t="shared" ca="1" si="1"/>
        <v>R</v>
      </c>
      <c r="D19" s="83"/>
    </row>
    <row r="20" spans="1:10" ht="12.75" customHeight="1">
      <c r="A20" s="88">
        <f t="shared" ca="1" si="0"/>
        <v>7</v>
      </c>
      <c r="B20" s="27" t="s">
        <v>104</v>
      </c>
      <c r="C20" s="82" t="str">
        <f t="shared" ca="1" si="1"/>
        <v>R</v>
      </c>
      <c r="D20" s="83"/>
    </row>
    <row r="21" spans="1:10" ht="12.75" customHeight="1">
      <c r="A21" s="88">
        <f t="shared" ca="1" si="0"/>
        <v>7</v>
      </c>
      <c r="B21" s="27" t="s">
        <v>105</v>
      </c>
      <c r="C21" s="82" t="str">
        <f t="shared" ca="1" si="1"/>
        <v>R</v>
      </c>
      <c r="D21" s="83"/>
    </row>
    <row r="22" spans="1:10" ht="12.75" customHeight="1">
      <c r="A22" s="88">
        <f t="shared" ca="1" si="0"/>
        <v>5</v>
      </c>
      <c r="B22" s="27" t="s">
        <v>106</v>
      </c>
      <c r="C22" s="82" t="str">
        <f t="shared" ca="1" si="1"/>
        <v>N</v>
      </c>
      <c r="D22" s="83"/>
    </row>
    <row r="23" spans="1:10" ht="12.75" customHeight="1">
      <c r="A23" s="88">
        <f t="shared" ca="1" si="0"/>
        <v>2</v>
      </c>
      <c r="B23" s="27" t="s">
        <v>107</v>
      </c>
      <c r="C23" s="82" t="str">
        <f t="shared" ca="1" si="1"/>
        <v>G</v>
      </c>
      <c r="D23" s="83"/>
    </row>
    <row r="24" spans="1:10" ht="12.75" customHeight="1">
      <c r="A24" s="88">
        <f t="shared" ca="1" si="0"/>
        <v>9</v>
      </c>
      <c r="B24" s="27" t="s">
        <v>108</v>
      </c>
      <c r="C24" s="82" t="str">
        <f t="shared" ca="1" si="1"/>
        <v>U</v>
      </c>
      <c r="D24" s="83"/>
    </row>
    <row r="25" spans="1:10" ht="12.75" customHeight="1">
      <c r="A25" s="88">
        <f t="shared" ca="1" si="0"/>
        <v>5</v>
      </c>
      <c r="B25" s="27" t="s">
        <v>109</v>
      </c>
      <c r="C25" s="82" t="str">
        <f t="shared" ca="1" si="1"/>
        <v>N</v>
      </c>
      <c r="D25" s="83"/>
    </row>
  </sheetData>
  <sortState ref="I2:J11">
    <sortCondition ref="I2:I11"/>
  </sortState>
  <customSheetViews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8">
        <f ca="1">ROUND(RAND()*9+1,0)</f>
        <v>5</v>
      </c>
      <c r="B2" s="27" t="s">
        <v>54</v>
      </c>
      <c r="C2" s="82" t="str">
        <f ca="1">VLOOKUP(A2,$G$2:$H$11,2)</f>
        <v>N</v>
      </c>
      <c r="G2" s="25">
        <v>1</v>
      </c>
      <c r="H2" s="92" t="s">
        <v>157</v>
      </c>
      <c r="I2" s="114" t="s">
        <v>221</v>
      </c>
      <c r="J2" s="115"/>
    </row>
    <row r="3" spans="1:10" ht="12.75" customHeight="1">
      <c r="A3" s="88">
        <f t="shared" ref="A3:A25" ca="1" si="0">ROUND(RAND()*9+1,0)</f>
        <v>7</v>
      </c>
      <c r="B3" s="27" t="s">
        <v>55</v>
      </c>
      <c r="C3" s="82" t="str">
        <f t="shared" ref="C3:C25" ca="1" si="1">VLOOKUP(A3,$G$2:$H$11,2)</f>
        <v>R</v>
      </c>
      <c r="G3" s="25">
        <v>2</v>
      </c>
      <c r="H3" s="92" t="s">
        <v>159</v>
      </c>
      <c r="I3" s="114" t="s">
        <v>222</v>
      </c>
      <c r="J3" s="115"/>
    </row>
    <row r="4" spans="1:10" ht="12.75" customHeight="1">
      <c r="A4" s="88">
        <f t="shared" ca="1" si="0"/>
        <v>10</v>
      </c>
      <c r="B4" s="27" t="s">
        <v>56</v>
      </c>
      <c r="C4" s="82" t="str">
        <f t="shared" ca="1" si="1"/>
        <v>W</v>
      </c>
      <c r="G4" s="25">
        <v>3</v>
      </c>
      <c r="H4" s="92" t="s">
        <v>161</v>
      </c>
      <c r="I4" s="114" t="s">
        <v>223</v>
      </c>
      <c r="J4" s="115"/>
    </row>
    <row r="5" spans="1:10" ht="12.75" customHeight="1">
      <c r="A5" s="88">
        <f t="shared" ca="1" si="0"/>
        <v>8</v>
      </c>
      <c r="B5" s="27" t="s">
        <v>57</v>
      </c>
      <c r="C5" s="82" t="str">
        <f t="shared" ca="1" si="1"/>
        <v>S</v>
      </c>
      <c r="G5" s="25">
        <v>4</v>
      </c>
      <c r="H5" s="92" t="s">
        <v>184</v>
      </c>
      <c r="I5" s="114" t="s">
        <v>224</v>
      </c>
      <c r="J5" s="115"/>
    </row>
    <row r="6" spans="1:10" ht="12.75" customHeight="1">
      <c r="A6" s="88">
        <f t="shared" ca="1" si="0"/>
        <v>5</v>
      </c>
      <c r="B6" s="27" t="s">
        <v>58</v>
      </c>
      <c r="C6" s="82" t="str">
        <f t="shared" ca="1" si="1"/>
        <v>N</v>
      </c>
      <c r="G6" s="25">
        <v>5</v>
      </c>
      <c r="H6" s="92" t="s">
        <v>165</v>
      </c>
      <c r="I6" s="114" t="s">
        <v>225</v>
      </c>
      <c r="J6" s="115"/>
    </row>
    <row r="7" spans="1:10" ht="12.75" customHeight="1">
      <c r="A7" s="88">
        <f t="shared" ca="1" si="0"/>
        <v>7</v>
      </c>
      <c r="B7" s="27" t="s">
        <v>59</v>
      </c>
      <c r="C7" s="82" t="str">
        <f t="shared" ca="1" si="1"/>
        <v>R</v>
      </c>
      <c r="G7" s="25">
        <v>6</v>
      </c>
      <c r="H7" s="92" t="s">
        <v>169</v>
      </c>
      <c r="I7" s="114" t="s">
        <v>226</v>
      </c>
      <c r="J7" s="115"/>
    </row>
    <row r="8" spans="1:10" ht="12.75" customHeight="1">
      <c r="A8" s="88">
        <f t="shared" ca="1" si="0"/>
        <v>9</v>
      </c>
      <c r="B8" s="27" t="s">
        <v>60</v>
      </c>
      <c r="C8" s="82" t="str">
        <f t="shared" ca="1" si="1"/>
        <v>U</v>
      </c>
      <c r="G8" s="25">
        <v>7</v>
      </c>
      <c r="H8" s="92" t="s">
        <v>171</v>
      </c>
      <c r="I8" s="114" t="s">
        <v>227</v>
      </c>
      <c r="J8" s="115"/>
    </row>
    <row r="9" spans="1:10" ht="12.75" customHeight="1">
      <c r="A9" s="88">
        <f t="shared" ca="1" si="0"/>
        <v>3</v>
      </c>
      <c r="B9" s="27" t="s">
        <v>61</v>
      </c>
      <c r="C9" s="82" t="str">
        <f t="shared" ca="1" si="1"/>
        <v>K</v>
      </c>
      <c r="G9" s="25">
        <v>8</v>
      </c>
      <c r="H9" s="92" t="s">
        <v>173</v>
      </c>
      <c r="I9" s="114" t="s">
        <v>228</v>
      </c>
      <c r="J9" s="115"/>
    </row>
    <row r="10" spans="1:10" ht="12.75" customHeight="1">
      <c r="A10" s="88">
        <f t="shared" ca="1" si="0"/>
        <v>3</v>
      </c>
      <c r="B10" s="27" t="s">
        <v>62</v>
      </c>
      <c r="C10" s="82" t="str">
        <f t="shared" ca="1" si="1"/>
        <v>K</v>
      </c>
      <c r="G10" s="25">
        <v>9</v>
      </c>
      <c r="H10" s="92" t="s">
        <v>185</v>
      </c>
      <c r="I10" s="114" t="s">
        <v>229</v>
      </c>
      <c r="J10" s="115"/>
    </row>
    <row r="11" spans="1:10" ht="12.75" customHeight="1">
      <c r="A11" s="88">
        <f t="shared" ca="1" si="0"/>
        <v>5</v>
      </c>
      <c r="B11" s="27" t="s">
        <v>63</v>
      </c>
      <c r="C11" s="82" t="str">
        <f t="shared" ca="1" si="1"/>
        <v>N</v>
      </c>
      <c r="G11" s="25">
        <v>10</v>
      </c>
      <c r="H11" s="92" t="s">
        <v>176</v>
      </c>
      <c r="I11" s="114" t="s">
        <v>279</v>
      </c>
      <c r="J11" s="115"/>
    </row>
    <row r="12" spans="1:10" ht="12.75" customHeight="1">
      <c r="A12" s="88">
        <f t="shared" ca="1" si="0"/>
        <v>7</v>
      </c>
      <c r="B12" s="27" t="s">
        <v>64</v>
      </c>
      <c r="C12" s="82" t="str">
        <f t="shared" ca="1" si="1"/>
        <v>R</v>
      </c>
      <c r="G12" s="89"/>
      <c r="H12" s="90"/>
      <c r="I12" s="91"/>
    </row>
    <row r="13" spans="1:10" ht="12.75" customHeight="1">
      <c r="A13" s="88">
        <f t="shared" ca="1" si="0"/>
        <v>5</v>
      </c>
      <c r="B13" s="27" t="s">
        <v>97</v>
      </c>
      <c r="C13" s="82" t="str">
        <f t="shared" ca="1" si="1"/>
        <v>N</v>
      </c>
      <c r="G13" s="89"/>
      <c r="H13" s="90"/>
      <c r="I13" s="91"/>
    </row>
    <row r="14" spans="1:10" ht="12.75" customHeight="1">
      <c r="A14" s="88">
        <f t="shared" ca="1" si="0"/>
        <v>9</v>
      </c>
      <c r="B14" s="27" t="s">
        <v>98</v>
      </c>
      <c r="C14" s="82" t="str">
        <f t="shared" ca="1" si="1"/>
        <v>U</v>
      </c>
      <c r="G14" s="89"/>
      <c r="H14" s="90"/>
      <c r="I14" s="91"/>
    </row>
    <row r="15" spans="1:10" ht="12.75" customHeight="1">
      <c r="A15" s="88">
        <f t="shared" ca="1" si="0"/>
        <v>2</v>
      </c>
      <c r="B15" s="27" t="s">
        <v>99</v>
      </c>
      <c r="C15" s="82" t="str">
        <f t="shared" ca="1" si="1"/>
        <v>G</v>
      </c>
      <c r="G15" s="89"/>
      <c r="H15" s="90"/>
      <c r="I15" s="91"/>
    </row>
    <row r="16" spans="1:10" ht="12.75" customHeight="1">
      <c r="A16" s="88">
        <f t="shared" ca="1" si="0"/>
        <v>2</v>
      </c>
      <c r="B16" s="27" t="s">
        <v>100</v>
      </c>
      <c r="C16" s="82" t="str">
        <f t="shared" ca="1" si="1"/>
        <v>G</v>
      </c>
      <c r="G16" s="89"/>
      <c r="H16" s="90"/>
      <c r="I16" s="91"/>
    </row>
    <row r="17" spans="1:9" ht="12.75" customHeight="1">
      <c r="A17" s="88">
        <f t="shared" ca="1" si="0"/>
        <v>1</v>
      </c>
      <c r="B17" s="27" t="s">
        <v>101</v>
      </c>
      <c r="C17" s="82" t="str">
        <f t="shared" ca="1" si="1"/>
        <v>F</v>
      </c>
      <c r="G17" s="89"/>
      <c r="H17" s="90"/>
      <c r="I17" s="91"/>
    </row>
    <row r="18" spans="1:9" ht="12.75" customHeight="1">
      <c r="A18" s="88">
        <f t="shared" ca="1" si="0"/>
        <v>7</v>
      </c>
      <c r="B18" s="27" t="s">
        <v>102</v>
      </c>
      <c r="C18" s="82" t="str">
        <f t="shared" ca="1" si="1"/>
        <v>R</v>
      </c>
    </row>
    <row r="19" spans="1:9" ht="12.75" customHeight="1">
      <c r="A19" s="88">
        <f t="shared" ca="1" si="0"/>
        <v>5</v>
      </c>
      <c r="B19" s="27" t="s">
        <v>103</v>
      </c>
      <c r="C19" s="82" t="str">
        <f t="shared" ca="1" si="1"/>
        <v>N</v>
      </c>
    </row>
    <row r="20" spans="1:9" ht="12.75" customHeight="1">
      <c r="A20" s="88">
        <f t="shared" ca="1" si="0"/>
        <v>9</v>
      </c>
      <c r="B20" s="27" t="s">
        <v>104</v>
      </c>
      <c r="C20" s="82" t="str">
        <f t="shared" ca="1" si="1"/>
        <v>U</v>
      </c>
    </row>
    <row r="21" spans="1:9" ht="12.75" customHeight="1">
      <c r="A21" s="88">
        <f t="shared" ca="1" si="0"/>
        <v>3</v>
      </c>
      <c r="B21" s="27" t="s">
        <v>105</v>
      </c>
      <c r="C21" s="82" t="str">
        <f t="shared" ca="1" si="1"/>
        <v>K</v>
      </c>
    </row>
    <row r="22" spans="1:9" ht="12.75" customHeight="1">
      <c r="A22" s="88">
        <f t="shared" ca="1" si="0"/>
        <v>6</v>
      </c>
      <c r="B22" s="27" t="s">
        <v>106</v>
      </c>
      <c r="C22" s="82" t="str">
        <f t="shared" ca="1" si="1"/>
        <v>P</v>
      </c>
    </row>
    <row r="23" spans="1:9" ht="12.75" customHeight="1">
      <c r="A23" s="88">
        <f t="shared" ca="1" si="0"/>
        <v>3</v>
      </c>
      <c r="B23" s="27" t="s">
        <v>107</v>
      </c>
      <c r="C23" s="82" t="str">
        <f t="shared" ca="1" si="1"/>
        <v>K</v>
      </c>
    </row>
    <row r="24" spans="1:9" ht="12.75" customHeight="1">
      <c r="A24" s="88">
        <f t="shared" ca="1" si="0"/>
        <v>6</v>
      </c>
      <c r="B24" s="27" t="s">
        <v>108</v>
      </c>
      <c r="C24" s="82" t="str">
        <f t="shared" ca="1" si="1"/>
        <v>P</v>
      </c>
    </row>
    <row r="25" spans="1:9" ht="12.75" customHeight="1">
      <c r="A25" s="88">
        <f t="shared" ca="1" si="0"/>
        <v>8</v>
      </c>
      <c r="B25" s="27" t="s">
        <v>109</v>
      </c>
      <c r="C25" s="82" t="str">
        <f t="shared" ca="1" si="1"/>
        <v>S</v>
      </c>
    </row>
  </sheetData>
  <customSheetViews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1B</v>
      </c>
      <c r="C4" s="72">
        <f ca="1">RAND()*55+5</f>
        <v>31.137987689755427</v>
      </c>
    </row>
    <row r="5" spans="1:8">
      <c r="A5" s="27" t="s">
        <v>55</v>
      </c>
      <c r="B5" s="27" t="str">
        <f t="shared" ref="B5:B27" ca="1" si="0">IF(RAND()&lt;0.33,"1A",IF(RAND()&lt;0.66,"1B","1C"))</f>
        <v>1B</v>
      </c>
      <c r="C5" s="72">
        <f t="shared" ref="C5:C27" ca="1" si="1">RAND()*55+5</f>
        <v>51.544139304533665</v>
      </c>
    </row>
    <row r="6" spans="1:8">
      <c r="A6" s="27" t="s">
        <v>56</v>
      </c>
      <c r="B6" s="27" t="str">
        <f t="shared" ca="1" si="0"/>
        <v>1B</v>
      </c>
      <c r="C6" s="72">
        <f t="shared" ca="1" si="1"/>
        <v>13.755846650565369</v>
      </c>
    </row>
    <row r="7" spans="1:8">
      <c r="A7" s="27" t="s">
        <v>57</v>
      </c>
      <c r="B7" s="27" t="str">
        <f t="shared" ca="1" si="0"/>
        <v>1C</v>
      </c>
      <c r="C7" s="72">
        <f t="shared" ca="1" si="1"/>
        <v>54.957438935191391</v>
      </c>
    </row>
    <row r="8" spans="1:8">
      <c r="A8" s="27" t="s">
        <v>58</v>
      </c>
      <c r="B8" s="27" t="str">
        <f t="shared" ca="1" si="0"/>
        <v>1C</v>
      </c>
      <c r="C8" s="72">
        <f t="shared" ca="1" si="1"/>
        <v>17.424673510624743</v>
      </c>
    </row>
    <row r="9" spans="1:8">
      <c r="A9" s="27" t="s">
        <v>59</v>
      </c>
      <c r="B9" s="27" t="str">
        <f t="shared" ca="1" si="0"/>
        <v>1B</v>
      </c>
      <c r="C9" s="72">
        <f t="shared" ca="1" si="1"/>
        <v>59.969102799389802</v>
      </c>
    </row>
    <row r="10" spans="1:8">
      <c r="A10" s="27" t="s">
        <v>60</v>
      </c>
      <c r="B10" s="27" t="str">
        <f t="shared" ca="1" si="0"/>
        <v>1B</v>
      </c>
      <c r="C10" s="72">
        <f t="shared" ca="1" si="1"/>
        <v>30.086985902013531</v>
      </c>
    </row>
    <row r="11" spans="1:8">
      <c r="A11" s="27" t="s">
        <v>61</v>
      </c>
      <c r="B11" s="27" t="str">
        <f t="shared" ca="1" si="0"/>
        <v>1B</v>
      </c>
      <c r="C11" s="72">
        <f t="shared" ca="1" si="1"/>
        <v>43.860858928229774</v>
      </c>
    </row>
    <row r="12" spans="1:8">
      <c r="A12" s="27" t="s">
        <v>62</v>
      </c>
      <c r="B12" s="27" t="str">
        <f t="shared" ca="1" si="0"/>
        <v>1A</v>
      </c>
      <c r="C12" s="72">
        <f t="shared" ca="1" si="1"/>
        <v>7.7750774289650959</v>
      </c>
    </row>
    <row r="13" spans="1:8">
      <c r="A13" s="27" t="s">
        <v>63</v>
      </c>
      <c r="B13" s="27" t="str">
        <f t="shared" ca="1" si="0"/>
        <v>1C</v>
      </c>
      <c r="C13" s="72">
        <f t="shared" ca="1" si="1"/>
        <v>51.40803452386762</v>
      </c>
    </row>
    <row r="14" spans="1:8">
      <c r="A14" s="27" t="s">
        <v>64</v>
      </c>
      <c r="B14" s="27" t="str">
        <f t="shared" ca="1" si="0"/>
        <v>1B</v>
      </c>
      <c r="C14" s="72">
        <f t="shared" ca="1" si="1"/>
        <v>53.942052454912584</v>
      </c>
    </row>
    <row r="15" spans="1:8" ht="13.5" thickBot="1">
      <c r="A15" s="27" t="s">
        <v>97</v>
      </c>
      <c r="B15" s="27" t="str">
        <f t="shared" ca="1" si="0"/>
        <v>1A</v>
      </c>
      <c r="C15" s="72">
        <f t="shared" ca="1" si="1"/>
        <v>6.3051116639204485</v>
      </c>
    </row>
    <row r="16" spans="1:8">
      <c r="A16" s="27" t="s">
        <v>98</v>
      </c>
      <c r="B16" s="27" t="str">
        <f t="shared" ca="1" si="0"/>
        <v>1C</v>
      </c>
      <c r="C16" s="72">
        <f t="shared" ca="1" si="1"/>
        <v>30.396087008425681</v>
      </c>
      <c r="G16" s="125" t="s">
        <v>268</v>
      </c>
      <c r="H16" s="126" t="s">
        <v>272</v>
      </c>
    </row>
    <row r="17" spans="1:8">
      <c r="A17" s="27" t="s">
        <v>99</v>
      </c>
      <c r="B17" s="27" t="str">
        <f t="shared" ca="1" si="0"/>
        <v>1A</v>
      </c>
      <c r="C17" s="72">
        <f t="shared" ca="1" si="1"/>
        <v>16.405211913935037</v>
      </c>
      <c r="G17" s="127" t="s">
        <v>269</v>
      </c>
      <c r="H17" s="129"/>
    </row>
    <row r="18" spans="1:8">
      <c r="A18" s="27" t="s">
        <v>100</v>
      </c>
      <c r="B18" s="27" t="str">
        <f t="shared" ca="1" si="0"/>
        <v>1A</v>
      </c>
      <c r="C18" s="72">
        <f t="shared" ca="1" si="1"/>
        <v>14.161841849890642</v>
      </c>
      <c r="G18" s="127" t="s">
        <v>270</v>
      </c>
      <c r="H18" s="129"/>
    </row>
    <row r="19" spans="1:8" ht="13.5" thickBot="1">
      <c r="A19" s="27" t="s">
        <v>101</v>
      </c>
      <c r="B19" s="27" t="str">
        <f t="shared" ca="1" si="0"/>
        <v>1C</v>
      </c>
      <c r="C19" s="72">
        <f t="shared" ca="1" si="1"/>
        <v>20.519084941082681</v>
      </c>
      <c r="G19" s="128" t="s">
        <v>271</v>
      </c>
      <c r="H19" s="130"/>
    </row>
    <row r="20" spans="1:8">
      <c r="A20" s="27" t="s">
        <v>102</v>
      </c>
      <c r="B20" s="27" t="str">
        <f t="shared" ca="1" si="0"/>
        <v>1C</v>
      </c>
      <c r="C20" s="72">
        <f t="shared" ca="1" si="1"/>
        <v>28.979842400102424</v>
      </c>
    </row>
    <row r="21" spans="1:8">
      <c r="A21" s="27" t="s">
        <v>103</v>
      </c>
      <c r="B21" s="27" t="str">
        <f t="shared" ca="1" si="0"/>
        <v>1A</v>
      </c>
      <c r="C21" s="72">
        <f t="shared" ca="1" si="1"/>
        <v>52.582505507164214</v>
      </c>
    </row>
    <row r="22" spans="1:8">
      <c r="A22" s="27" t="s">
        <v>104</v>
      </c>
      <c r="B22" s="27" t="str">
        <f t="shared" ca="1" si="0"/>
        <v>1B</v>
      </c>
      <c r="C22" s="72">
        <f t="shared" ca="1" si="1"/>
        <v>27.67109642392851</v>
      </c>
    </row>
    <row r="23" spans="1:8">
      <c r="A23" s="27" t="s">
        <v>105</v>
      </c>
      <c r="B23" s="27" t="str">
        <f t="shared" ca="1" si="0"/>
        <v>1C</v>
      </c>
      <c r="C23" s="72">
        <f t="shared" ca="1" si="1"/>
        <v>32.257892000818217</v>
      </c>
    </row>
    <row r="24" spans="1:8">
      <c r="A24" s="27" t="s">
        <v>106</v>
      </c>
      <c r="B24" s="27" t="str">
        <f t="shared" ca="1" si="0"/>
        <v>1B</v>
      </c>
      <c r="C24" s="72">
        <f t="shared" ca="1" si="1"/>
        <v>37.56623677160821</v>
      </c>
    </row>
    <row r="25" spans="1:8">
      <c r="A25" s="27" t="s">
        <v>107</v>
      </c>
      <c r="B25" s="27" t="str">
        <f t="shared" ca="1" si="0"/>
        <v>1A</v>
      </c>
      <c r="C25" s="72">
        <f t="shared" ca="1" si="1"/>
        <v>46.618236469131688</v>
      </c>
    </row>
    <row r="26" spans="1:8">
      <c r="A26" s="27" t="s">
        <v>108</v>
      </c>
      <c r="B26" s="27" t="str">
        <f t="shared" ca="1" si="0"/>
        <v>1A</v>
      </c>
      <c r="C26" s="72">
        <f t="shared" ca="1" si="1"/>
        <v>31.255062657815245</v>
      </c>
    </row>
    <row r="27" spans="1:8">
      <c r="A27" s="27" t="s">
        <v>109</v>
      </c>
      <c r="B27" s="27" t="str">
        <f t="shared" ca="1" si="0"/>
        <v>1C</v>
      </c>
      <c r="C27" s="72">
        <f t="shared" ca="1" si="1"/>
        <v>53.75928022114271</v>
      </c>
    </row>
  </sheetData>
  <customSheetViews>
    <customSheetView guid="{3DF5E802-5CA5-43EF-BE6A-D6FCDA5F65F2}">
      <selection activeCell="B13" sqref="B13"/>
      <pageMargins left="0.75" right="0.75" top="1" bottom="1" header="0.5" footer="0.5"/>
      <headerFooter alignWithMargins="0"/>
    </customSheetView>
    <customSheetView guid="{F9B480CE-077C-416E-ACF9-56227F746F4A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Antek Pająk</cp:lastModifiedBy>
  <dcterms:created xsi:type="dcterms:W3CDTF">2006-11-26T20:35:52Z</dcterms:created>
  <dcterms:modified xsi:type="dcterms:W3CDTF">2025-09-19T10:30:00Z</dcterms:modified>
</cp:coreProperties>
</file>